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5601"/>
  <workbookPr/>
  <mc:AlternateContent xmlns:mc="http://schemas.openxmlformats.org/markup-compatibility/2006">
    <mc:Choice Requires="x15">
      <x15ac:absPath xmlns:x15ac="http://schemas.microsoft.com/office/spreadsheetml/2010/11/ac" url="C:\Users\Master\python-for-excel\projeto ops\Novo projeto\Gerador de ordens de produção\"/>
    </mc:Choice>
  </mc:AlternateContent>
  <xr:revisionPtr revIDLastSave="0" documentId="13_ncr:1_{D3FA48C4-9555-45F8-B856-4B342617D418}" xr6:coauthVersionLast="47" xr6:coauthVersionMax="47" xr10:uidLastSave="{00000000-0000-0000-0000-000000000000}"/>
  <bookViews>
    <workbookView xWindow="-120" yWindow="-120" windowWidth="20730" windowHeight="11160" xr2:uid="{00000000-000D-0000-FFFF-FFFF00000000}"/>
  </bookViews>
  <sheets>
    <sheet name="Planilha1" sheetId="1" r:id="rId1"/>
  </sheets>
  <externalReferences>
    <externalReference r:id="rId2"/>
  </externalReferences>
  <definedNames>
    <definedName name="_xlnm._FilterDatabase" localSheetId="0" hidden="1">Planilha1!$A$2:$S$1007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N76" i="1" l="1"/>
  <c r="N77" i="1"/>
  <c r="N78" i="1"/>
  <c r="N79" i="1"/>
  <c r="N27" i="1"/>
  <c r="N28" i="1"/>
  <c r="N47" i="1"/>
  <c r="N48" i="1"/>
  <c r="N49" i="1"/>
  <c r="N50" i="1"/>
  <c r="N51" i="1"/>
  <c r="N40" i="1"/>
  <c r="N41" i="1"/>
  <c r="N29" i="1"/>
  <c r="N30" i="1"/>
  <c r="N31" i="1"/>
  <c r="N52" i="1"/>
  <c r="N53" i="1"/>
  <c r="N54" i="1"/>
  <c r="N55" i="1"/>
  <c r="N56" i="1"/>
  <c r="N43" i="1"/>
  <c r="N14" i="1"/>
  <c r="N15" i="1"/>
  <c r="N22" i="1"/>
  <c r="N57" i="1"/>
  <c r="N58" i="1"/>
  <c r="N59" i="1"/>
  <c r="N60" i="1"/>
  <c r="N61" i="1"/>
  <c r="N62" i="1"/>
  <c r="N63" i="1"/>
  <c r="N64" i="1"/>
  <c r="N44" i="1"/>
  <c r="N45" i="1"/>
  <c r="N46" i="1"/>
  <c r="N16" i="1"/>
  <c r="N17" i="1"/>
  <c r="N18" i="1"/>
  <c r="N19" i="1"/>
  <c r="N65" i="1"/>
  <c r="N66" i="1"/>
  <c r="N67" i="1"/>
  <c r="N68" i="1"/>
  <c r="N20" i="1"/>
  <c r="N21" i="1"/>
  <c r="N39" i="1"/>
  <c r="N69" i="1"/>
  <c r="N70" i="1"/>
  <c r="N71" i="1"/>
  <c r="N72" i="1"/>
  <c r="N73" i="1"/>
  <c r="N74" i="1"/>
  <c r="N75" i="1"/>
  <c r="N24" i="1"/>
  <c r="N25" i="1"/>
  <c r="N26" i="1"/>
  <c r="N33" i="1"/>
  <c r="N32" i="1"/>
  <c r="N35" i="1"/>
  <c r="N34" i="1"/>
  <c r="N36" i="1"/>
  <c r="N38" i="1"/>
  <c r="N37" i="1"/>
  <c r="N146" i="1"/>
  <c r="N147" i="1"/>
  <c r="N148" i="1"/>
  <c r="N149" i="1"/>
  <c r="N169" i="1"/>
  <c r="N170" i="1"/>
  <c r="N80" i="1"/>
  <c r="N81" i="1"/>
  <c r="N82" i="1"/>
  <c r="N83" i="1"/>
  <c r="N89" i="1"/>
  <c r="N90" i="1"/>
  <c r="N91" i="1"/>
  <c r="N92" i="1"/>
  <c r="N93" i="1"/>
  <c r="N131" i="1"/>
  <c r="N132" i="1"/>
  <c r="N133" i="1"/>
  <c r="N134" i="1"/>
  <c r="N150" i="1"/>
  <c r="N151" i="1"/>
  <c r="N171" i="1"/>
  <c r="N179" i="1"/>
  <c r="N180" i="1"/>
  <c r="N181" i="1"/>
  <c r="N182" i="1"/>
  <c r="N183" i="1"/>
  <c r="N184" i="1"/>
  <c r="N199" i="1"/>
  <c r="N200" i="1"/>
  <c r="N201" i="1"/>
  <c r="N202" i="1"/>
  <c r="N84" i="1"/>
  <c r="N85" i="1"/>
  <c r="N94" i="1"/>
  <c r="N95" i="1"/>
  <c r="N96" i="1"/>
  <c r="N97" i="1"/>
  <c r="N98" i="1"/>
  <c r="N135" i="1"/>
  <c r="N152" i="1"/>
  <c r="N153" i="1"/>
  <c r="N158" i="1"/>
  <c r="N159" i="1"/>
  <c r="N160" i="1"/>
  <c r="N161" i="1"/>
  <c r="N162" i="1"/>
  <c r="N163" i="1"/>
  <c r="N164" i="1"/>
  <c r="N172" i="1"/>
  <c r="N185" i="1"/>
  <c r="N186" i="1"/>
  <c r="N187" i="1"/>
  <c r="N203" i="1"/>
  <c r="N205" i="1"/>
  <c r="N86" i="1"/>
  <c r="N87" i="1"/>
  <c r="N88" i="1"/>
  <c r="N99" i="1"/>
  <c r="N100" i="1"/>
  <c r="N101" i="1"/>
  <c r="N102" i="1"/>
  <c r="N103" i="1"/>
  <c r="N104" i="1"/>
  <c r="N105" i="1"/>
  <c r="N126" i="1"/>
  <c r="N127" i="1"/>
  <c r="N136" i="1"/>
  <c r="N137" i="1"/>
  <c r="N138" i="1"/>
  <c r="N139" i="1"/>
  <c r="N154" i="1"/>
  <c r="N155" i="1"/>
  <c r="N165" i="1"/>
  <c r="N173" i="1"/>
  <c r="N174" i="1"/>
  <c r="N188" i="1"/>
  <c r="N189" i="1"/>
  <c r="N190" i="1"/>
  <c r="N191" i="1"/>
  <c r="N204" i="1"/>
  <c r="N106" i="1"/>
  <c r="N107" i="1"/>
  <c r="N108" i="1"/>
  <c r="N109" i="1"/>
  <c r="N110" i="1"/>
  <c r="N111" i="1"/>
  <c r="N112" i="1"/>
  <c r="N113" i="1"/>
  <c r="N114" i="1"/>
  <c r="N115" i="1"/>
  <c r="N156" i="1"/>
  <c r="N157" i="1"/>
  <c r="N166" i="1"/>
  <c r="N167" i="1"/>
  <c r="N192" i="1"/>
  <c r="N193" i="1"/>
  <c r="N194" i="1"/>
  <c r="N116" i="1"/>
  <c r="N117" i="1"/>
  <c r="N118" i="1"/>
  <c r="N119" i="1"/>
  <c r="N120" i="1"/>
  <c r="N121" i="1"/>
  <c r="N122" i="1"/>
  <c r="N140" i="1"/>
  <c r="N168" i="1"/>
  <c r="N123" i="1"/>
  <c r="N128" i="1"/>
  <c r="N129" i="1"/>
  <c r="N130" i="1"/>
  <c r="N141" i="1"/>
  <c r="N142" i="1"/>
  <c r="N143" i="1"/>
  <c r="N144" i="1"/>
  <c r="N145" i="1"/>
  <c r="N195" i="1"/>
  <c r="N196" i="1"/>
  <c r="N197" i="1"/>
  <c r="N198" i="1"/>
  <c r="N206" i="1"/>
  <c r="N259" i="1"/>
  <c r="N272" i="1"/>
  <c r="N310" i="1"/>
  <c r="N328" i="1"/>
  <c r="N358" i="1"/>
  <c r="N367" i="1"/>
  <c r="N366" i="1"/>
  <c r="N363" i="1"/>
  <c r="N360" i="1"/>
  <c r="N370" i="1"/>
  <c r="N372" i="1"/>
  <c r="N350" i="1"/>
  <c r="N239" i="1"/>
  <c r="N240" i="1"/>
  <c r="N241" i="1"/>
  <c r="N242" i="1"/>
  <c r="N243" i="1"/>
  <c r="N244" i="1"/>
  <c r="N263" i="1"/>
  <c r="N316" i="1"/>
  <c r="N357" i="1"/>
  <c r="N317" i="1"/>
  <c r="N361" i="1"/>
  <c r="N307" i="1"/>
  <c r="N354" i="1"/>
  <c r="N325" i="1"/>
  <c r="N308" i="1"/>
  <c r="N315" i="1"/>
  <c r="N289" i="1"/>
  <c r="N321" i="1"/>
  <c r="N323" i="1"/>
  <c r="N352" i="1"/>
  <c r="N290" i="1"/>
  <c r="N324" i="1"/>
  <c r="N371" i="1"/>
  <c r="N373" i="1"/>
  <c r="N359" i="1"/>
  <c r="N273" i="1"/>
  <c r="N355" i="1"/>
  <c r="N356" i="1"/>
  <c r="N353" i="1"/>
  <c r="N314" i="1"/>
  <c r="N313" i="1"/>
  <c r="N330" i="1"/>
  <c r="N329" i="1"/>
  <c r="N309" i="1"/>
  <c r="N207" i="1"/>
  <c r="N378" i="1"/>
  <c r="N319" i="1"/>
  <c r="N320" i="1"/>
  <c r="N322" i="1"/>
  <c r="N285" i="1"/>
  <c r="N245" i="1"/>
  <c r="N246" i="1"/>
  <c r="N280" i="1"/>
  <c r="N277" i="1"/>
  <c r="N294" i="1"/>
  <c r="N368" i="1"/>
  <c r="N296" i="1"/>
  <c r="N295" i="1"/>
  <c r="N301" i="1"/>
  <c r="N365" i="1"/>
  <c r="N318" i="1"/>
  <c r="N291" i="1"/>
  <c r="N292" i="1"/>
  <c r="N287" i="1"/>
  <c r="N208" i="1"/>
  <c r="N209" i="1"/>
  <c r="N217" i="1"/>
  <c r="N218" i="1"/>
  <c r="N219" i="1"/>
  <c r="N220" i="1"/>
  <c r="N221" i="1"/>
  <c r="N222" i="1"/>
  <c r="N229" i="1"/>
  <c r="N230" i="1"/>
  <c r="N231" i="1"/>
  <c r="N232" i="1"/>
  <c r="N233" i="1"/>
  <c r="N375" i="1"/>
  <c r="N379" i="1"/>
  <c r="N376" i="1"/>
  <c r="N351" i="1"/>
  <c r="N223" i="1"/>
  <c r="N342" i="1"/>
  <c r="N279" i="1"/>
  <c r="N332" i="1"/>
  <c r="N274" i="1"/>
  <c r="N338" i="1"/>
  <c r="N275" i="1"/>
  <c r="N339" i="1"/>
  <c r="N331" i="1"/>
  <c r="N276" i="1"/>
  <c r="N254" i="1"/>
  <c r="N284" i="1"/>
  <c r="N340" i="1"/>
  <c r="N333" i="1"/>
  <c r="N334" i="1"/>
  <c r="N266" i="1"/>
  <c r="N341" i="1"/>
  <c r="N249" i="1"/>
  <c r="N362" i="1"/>
  <c r="N364" i="1"/>
  <c r="N302" i="1"/>
  <c r="N300" i="1"/>
  <c r="N304" i="1"/>
  <c r="N303" i="1"/>
  <c r="N336" i="1"/>
  <c r="N281" i="1"/>
  <c r="N335" i="1"/>
  <c r="N283" i="1"/>
  <c r="N337" i="1"/>
  <c r="N270" i="1"/>
  <c r="N298" i="1"/>
  <c r="N306" i="1"/>
  <c r="N343" i="1"/>
  <c r="N344" i="1"/>
  <c r="N345" i="1"/>
  <c r="N278" i="1"/>
  <c r="N347" i="1"/>
  <c r="N250" i="1"/>
  <c r="N247" i="1"/>
  <c r="N248" i="1"/>
  <c r="N377" i="1"/>
  <c r="N297" i="1"/>
  <c r="N293" i="1"/>
  <c r="N348" i="1"/>
  <c r="N257" i="1"/>
  <c r="N288" i="1"/>
  <c r="N349" i="1"/>
  <c r="N346" i="1"/>
  <c r="N210" i="1"/>
  <c r="N211" i="1"/>
  <c r="N212" i="1"/>
  <c r="N213" i="1"/>
  <c r="N214" i="1"/>
  <c r="N215" i="1"/>
  <c r="N216" i="1"/>
  <c r="N299" i="1"/>
  <c r="N305" i="1"/>
  <c r="N234" i="1"/>
  <c r="N235" i="1"/>
  <c r="N236" i="1"/>
  <c r="N237" i="1"/>
  <c r="N238" i="1"/>
  <c r="N251" i="1"/>
  <c r="N267" i="1"/>
  <c r="N252" i="1"/>
  <c r="N265" i="1"/>
  <c r="N260" i="1"/>
  <c r="N282" i="1"/>
  <c r="N264" i="1"/>
  <c r="N268" i="1"/>
  <c r="N261" i="1"/>
  <c r="N253" i="1"/>
  <c r="N286" i="1"/>
  <c r="N255" i="1"/>
  <c r="N256" i="1"/>
  <c r="N262" i="1"/>
  <c r="N258" i="1"/>
  <c r="N269" i="1"/>
  <c r="N380" i="1"/>
  <c r="N3" i="1"/>
  <c r="N4" i="1"/>
  <c r="N402" i="1"/>
  <c r="N514" i="1"/>
  <c r="N396" i="1"/>
  <c r="N645" i="1"/>
  <c r="N597" i="1"/>
  <c r="N394" i="1"/>
  <c r="N495" i="1"/>
  <c r="N474" i="1"/>
  <c r="N430" i="1"/>
  <c r="N594" i="1"/>
  <c r="N595" i="1"/>
  <c r="N592" i="1"/>
  <c r="N591" i="1"/>
  <c r="N593" i="1"/>
  <c r="N410" i="1"/>
  <c r="N456" i="1"/>
  <c r="N599" i="1"/>
  <c r="N465" i="1"/>
  <c r="N520" i="1"/>
  <c r="N447" i="1"/>
  <c r="N523" i="1"/>
  <c r="N439" i="1"/>
  <c r="N433" i="1"/>
  <c r="N596" i="1"/>
  <c r="N584" i="1"/>
  <c r="N389" i="1"/>
  <c r="N555" i="1"/>
  <c r="N566" i="1"/>
  <c r="N605" i="1"/>
  <c r="N450" i="1"/>
  <c r="N451" i="1"/>
  <c r="N453" i="1"/>
  <c r="N457" i="1"/>
  <c r="N466" i="1"/>
  <c r="N471" i="1"/>
  <c r="N459" i="1"/>
  <c r="N460" i="1"/>
  <c r="N419" i="1"/>
  <c r="N462" i="1"/>
  <c r="N463" i="1"/>
  <c r="N440" i="1"/>
  <c r="N427" i="1"/>
  <c r="N428" i="1"/>
  <c r="N421" i="1"/>
  <c r="N422" i="1"/>
  <c r="N434" i="1"/>
  <c r="N412" i="1"/>
  <c r="N424" i="1"/>
  <c r="N425" i="1"/>
  <c r="N415" i="1"/>
  <c r="N416" i="1"/>
  <c r="N572" i="1"/>
  <c r="N573" i="1"/>
  <c r="N578" i="1"/>
  <c r="N581" i="1"/>
  <c r="N587" i="1"/>
  <c r="N552" i="1"/>
  <c r="N546" i="1"/>
  <c r="N556" i="1"/>
  <c r="N575" i="1"/>
  <c r="N560" i="1"/>
  <c r="N537" i="1"/>
  <c r="N540" i="1"/>
  <c r="N543" i="1"/>
  <c r="N549" i="1"/>
  <c r="N550" i="1"/>
  <c r="N569" i="1"/>
  <c r="N570" i="1"/>
  <c r="N564" i="1"/>
  <c r="N640" i="1"/>
  <c r="N646" i="1"/>
  <c r="N653" i="1"/>
  <c r="N654" i="1"/>
  <c r="N651" i="1"/>
  <c r="N652" i="1"/>
  <c r="N442" i="1"/>
  <c r="N443" i="1"/>
  <c r="N400" i="1"/>
  <c r="N603" i="1"/>
  <c r="N487" i="1"/>
  <c r="N488" i="1"/>
  <c r="N489" i="1"/>
  <c r="N490" i="1"/>
  <c r="N507" i="1"/>
  <c r="N493" i="1"/>
  <c r="N494" i="1"/>
  <c r="N508" i="1"/>
  <c r="N509" i="1"/>
  <c r="N510" i="1"/>
  <c r="N511" i="1"/>
  <c r="N512" i="1"/>
  <c r="N513" i="1"/>
  <c r="N515" i="1"/>
  <c r="N497" i="1"/>
  <c r="N517" i="1"/>
  <c r="N518" i="1"/>
  <c r="N519" i="1"/>
  <c r="N485" i="1"/>
  <c r="N486" i="1"/>
  <c r="N476" i="1"/>
  <c r="N477" i="1"/>
  <c r="N478" i="1"/>
  <c r="N481" i="1"/>
  <c r="N482" i="1"/>
  <c r="N483" i="1"/>
  <c r="N484" i="1"/>
  <c r="N398" i="1"/>
  <c r="N399" i="1"/>
  <c r="N406" i="1"/>
  <c r="N407" i="1"/>
  <c r="N408" i="1"/>
  <c r="N411" i="1"/>
  <c r="N498" i="1"/>
  <c r="N499" i="1"/>
  <c r="N500" i="1"/>
  <c r="N501" i="1"/>
  <c r="N502" i="1"/>
  <c r="N503" i="1"/>
  <c r="N467" i="1"/>
  <c r="N387" i="1"/>
  <c r="N388" i="1"/>
  <c r="N504" i="1"/>
  <c r="N505" i="1"/>
  <c r="N445" i="1"/>
  <c r="N393" i="1"/>
  <c r="N435" i="1"/>
  <c r="N397" i="1"/>
  <c r="N557" i="1"/>
  <c r="N385" i="1"/>
  <c r="N386" i="1"/>
  <c r="N383" i="1"/>
  <c r="N384" i="1"/>
  <c r="N527" i="1"/>
  <c r="N528" i="1"/>
  <c r="N532" i="1"/>
  <c r="N533" i="1"/>
  <c r="N647" i="1"/>
  <c r="N516" i="1"/>
  <c r="N431" i="1"/>
  <c r="N452" i="1"/>
  <c r="N455" i="1"/>
  <c r="N458" i="1"/>
  <c r="N468" i="1"/>
  <c r="N521" i="1"/>
  <c r="N448" i="1"/>
  <c r="N461" i="1"/>
  <c r="N420" i="1"/>
  <c r="N524" i="1"/>
  <c r="N464" i="1"/>
  <c r="N441" i="1"/>
  <c r="N429" i="1"/>
  <c r="N423" i="1"/>
  <c r="N436" i="1"/>
  <c r="N426" i="1"/>
  <c r="N585" i="1"/>
  <c r="N417" i="1"/>
  <c r="N574" i="1"/>
  <c r="N561" i="1"/>
  <c r="N567" i="1"/>
  <c r="N534" i="1"/>
  <c r="N551" i="1"/>
  <c r="N571" i="1"/>
  <c r="N565" i="1"/>
  <c r="N472" i="1"/>
  <c r="N413" i="1"/>
  <c r="N579" i="1"/>
  <c r="N582" i="1"/>
  <c r="N588" i="1"/>
  <c r="N553" i="1"/>
  <c r="N547" i="1"/>
  <c r="N576" i="1"/>
  <c r="N538" i="1"/>
  <c r="N541" i="1"/>
  <c r="N544" i="1"/>
  <c r="N529" i="1"/>
  <c r="N601" i="1"/>
  <c r="N432" i="1"/>
  <c r="N607" i="1"/>
  <c r="N608" i="1"/>
  <c r="N609" i="1"/>
  <c r="N469" i="1"/>
  <c r="N522" i="1"/>
  <c r="N449" i="1"/>
  <c r="N610" i="1"/>
  <c r="N612" i="1"/>
  <c r="N525" i="1"/>
  <c r="N611" i="1"/>
  <c r="N629" i="1"/>
  <c r="N615" i="1"/>
  <c r="N613" i="1"/>
  <c r="N437" i="1"/>
  <c r="N614" i="1"/>
  <c r="N586" i="1"/>
  <c r="N633" i="1"/>
  <c r="N632" i="1"/>
  <c r="N390" i="1"/>
  <c r="N558" i="1"/>
  <c r="N562" i="1"/>
  <c r="N568" i="1"/>
  <c r="N535" i="1"/>
  <c r="N634" i="1"/>
  <c r="N643" i="1"/>
  <c r="N642" i="1"/>
  <c r="N470" i="1"/>
  <c r="N473" i="1"/>
  <c r="N438" i="1"/>
  <c r="N631" i="1"/>
  <c r="N414" i="1"/>
  <c r="N580" i="1"/>
  <c r="N583" i="1"/>
  <c r="N589" i="1"/>
  <c r="N554" i="1"/>
  <c r="N548" i="1"/>
  <c r="N559" i="1"/>
  <c r="N636" i="1"/>
  <c r="N577" i="1"/>
  <c r="N539" i="1"/>
  <c r="N542" i="1"/>
  <c r="N545" i="1"/>
  <c r="N530" i="1"/>
  <c r="N623" i="1"/>
  <c r="N624" i="1"/>
  <c r="N655" i="1"/>
  <c r="N648" i="1"/>
  <c r="N618" i="1"/>
  <c r="N619" i="1"/>
  <c r="N649" i="1"/>
  <c r="N660" i="1"/>
  <c r="N661" i="1"/>
  <c r="N659" i="1"/>
  <c r="N620" i="1"/>
  <c r="N401" i="1"/>
  <c r="N650" i="1"/>
  <c r="N625" i="1"/>
  <c r="N656" i="1"/>
  <c r="N657" i="1"/>
  <c r="N658" i="1"/>
  <c r="N621" i="1"/>
  <c r="N395" i="1"/>
  <c r="N391" i="1"/>
  <c r="N404" i="1"/>
  <c r="N405" i="1"/>
  <c r="N491" i="1"/>
  <c r="N492" i="1"/>
  <c r="N663" i="1"/>
  <c r="N627" i="1"/>
  <c r="N628" i="1"/>
  <c r="N622" i="1"/>
  <c r="N626" i="1"/>
  <c r="N598" i="1"/>
  <c r="N606" i="1"/>
  <c r="N446" i="1"/>
  <c r="N616" i="1"/>
  <c r="N630" i="1"/>
  <c r="N617" i="1"/>
  <c r="N602" i="1"/>
  <c r="N600" i="1"/>
  <c r="N635" i="1"/>
  <c r="N604" i="1"/>
  <c r="N641" i="1"/>
  <c r="N382" i="1"/>
  <c r="N526" i="1"/>
  <c r="N662" i="1"/>
  <c r="N664" i="1"/>
  <c r="N665" i="1"/>
  <c r="N381" i="1"/>
  <c r="N637" i="1"/>
  <c r="N531" i="1"/>
  <c r="N638" i="1"/>
  <c r="N536" i="1"/>
  <c r="N639" i="1"/>
  <c r="N644" i="1"/>
  <c r="N590" i="1"/>
  <c r="N823" i="1"/>
  <c r="N868" i="1"/>
  <c r="N950" i="1"/>
  <c r="N758" i="1"/>
  <c r="N759" i="1"/>
  <c r="N763" i="1"/>
  <c r="N764" i="1"/>
  <c r="N787" i="1"/>
  <c r="N788" i="1"/>
  <c r="N797" i="1"/>
  <c r="N798" i="1"/>
  <c r="N799" i="1"/>
  <c r="N800" i="1"/>
  <c r="N810" i="1"/>
  <c r="N811" i="1"/>
  <c r="N812" i="1"/>
  <c r="N824" i="1"/>
  <c r="N825" i="1"/>
  <c r="N831" i="1"/>
  <c r="N852" i="1"/>
  <c r="N853" i="1"/>
  <c r="N854" i="1"/>
  <c r="N858" i="1"/>
  <c r="N869" i="1"/>
  <c r="N870" i="1"/>
  <c r="N961" i="1"/>
  <c r="N962" i="1"/>
  <c r="N963" i="1"/>
  <c r="N964" i="1"/>
  <c r="N676" i="1"/>
  <c r="N677" i="1"/>
  <c r="N678" i="1"/>
  <c r="N679" i="1"/>
  <c r="N751" i="1"/>
  <c r="N752" i="1"/>
  <c r="N753" i="1"/>
  <c r="N754" i="1"/>
  <c r="N904" i="1"/>
  <c r="N905" i="1"/>
  <c r="N760" i="1"/>
  <c r="N765" i="1"/>
  <c r="N768" i="1"/>
  <c r="N769" i="1"/>
  <c r="N770" i="1"/>
  <c r="N782" i="1"/>
  <c r="N783" i="1"/>
  <c r="N784" i="1"/>
  <c r="N789" i="1"/>
  <c r="N790" i="1"/>
  <c r="N801" i="1"/>
  <c r="N802" i="1"/>
  <c r="N826" i="1"/>
  <c r="N827" i="1"/>
  <c r="N915" i="1"/>
  <c r="N916" i="1"/>
  <c r="N917" i="1"/>
  <c r="N918" i="1"/>
  <c r="N919" i="1"/>
  <c r="N920" i="1"/>
  <c r="N921" i="1"/>
  <c r="N922" i="1"/>
  <c r="N923" i="1"/>
  <c r="N924" i="1"/>
  <c r="N925" i="1"/>
  <c r="N926" i="1"/>
  <c r="N927" i="1"/>
  <c r="N928" i="1"/>
  <c r="N929" i="1"/>
  <c r="N930" i="1"/>
  <c r="N931" i="1"/>
  <c r="N840" i="1"/>
  <c r="N845" i="1"/>
  <c r="N847" i="1"/>
  <c r="N846" i="1"/>
  <c r="N855" i="1"/>
  <c r="N861" i="1"/>
  <c r="N862" i="1"/>
  <c r="N871" i="1"/>
  <c r="N872" i="1"/>
  <c r="N879" i="1"/>
  <c r="N736" i="1"/>
  <c r="N739" i="1"/>
  <c r="N740" i="1"/>
  <c r="N741" i="1"/>
  <c r="N742" i="1"/>
  <c r="N743" i="1"/>
  <c r="N744" i="1"/>
  <c r="N745" i="1"/>
  <c r="N746" i="1"/>
  <c r="N882" i="1"/>
  <c r="N883" i="1"/>
  <c r="N884" i="1"/>
  <c r="N885" i="1"/>
  <c r="N886" i="1"/>
  <c r="N887" i="1"/>
  <c r="N888" i="1"/>
  <c r="N889" i="1"/>
  <c r="N890" i="1"/>
  <c r="N891" i="1"/>
  <c r="N892" i="1"/>
  <c r="N893" i="1"/>
  <c r="N894" i="1"/>
  <c r="N895" i="1"/>
  <c r="N755" i="1"/>
  <c r="N761" i="1"/>
  <c r="N766" i="1"/>
  <c r="N771" i="1"/>
  <c r="N776" i="1"/>
  <c r="N777" i="1"/>
  <c r="N778" i="1"/>
  <c r="N779" i="1"/>
  <c r="N785" i="1"/>
  <c r="N791" i="1"/>
  <c r="N792" i="1"/>
  <c r="N793" i="1"/>
  <c r="N803" i="1"/>
  <c r="N804" i="1"/>
  <c r="N805" i="1"/>
  <c r="N828" i="1"/>
  <c r="N829" i="1"/>
  <c r="N830" i="1"/>
  <c r="N932" i="1"/>
  <c r="N933" i="1"/>
  <c r="N934" i="1"/>
  <c r="N935" i="1"/>
  <c r="N936" i="1"/>
  <c r="N841" i="1"/>
  <c r="N842" i="1"/>
  <c r="N848" i="1"/>
  <c r="N856" i="1"/>
  <c r="N863" i="1"/>
  <c r="N864" i="1"/>
  <c r="N865" i="1"/>
  <c r="N873" i="1"/>
  <c r="N874" i="1"/>
  <c r="N976" i="1"/>
  <c r="N985" i="1"/>
  <c r="N675" i="1"/>
  <c r="N674" i="1"/>
  <c r="N970" i="1"/>
  <c r="N971" i="1"/>
  <c r="N972" i="1"/>
  <c r="N973" i="1"/>
  <c r="N747" i="1"/>
  <c r="N748" i="1"/>
  <c r="N896" i="1"/>
  <c r="N897" i="1"/>
  <c r="N898" i="1"/>
  <c r="N899" i="1"/>
  <c r="N756" i="1"/>
  <c r="N762" i="1"/>
  <c r="N767" i="1"/>
  <c r="N772" i="1"/>
  <c r="N773" i="1"/>
  <c r="N780" i="1"/>
  <c r="N781" i="1"/>
  <c r="N786" i="1"/>
  <c r="N794" i="1"/>
  <c r="N795" i="1"/>
  <c r="N806" i="1"/>
  <c r="N807" i="1"/>
  <c r="N820" i="1"/>
  <c r="N911" i="1"/>
  <c r="N912" i="1"/>
  <c r="N937" i="1"/>
  <c r="N938" i="1"/>
  <c r="N939" i="1"/>
  <c r="N839" i="1"/>
  <c r="N945" i="1"/>
  <c r="N843" i="1"/>
  <c r="N844" i="1"/>
  <c r="N849" i="1"/>
  <c r="N850" i="1"/>
  <c r="N857" i="1"/>
  <c r="N866" i="1"/>
  <c r="N867" i="1"/>
  <c r="N875" i="1"/>
  <c r="N876" i="1"/>
  <c r="N996" i="1"/>
  <c r="N667" i="1"/>
  <c r="N668" i="1"/>
  <c r="N974" i="1"/>
  <c r="N975" i="1"/>
  <c r="N737" i="1"/>
  <c r="N738" i="1"/>
  <c r="N749" i="1"/>
  <c r="N750" i="1"/>
  <c r="N900" i="1"/>
  <c r="N901" i="1"/>
  <c r="N902" i="1"/>
  <c r="N903" i="1"/>
  <c r="N796" i="1"/>
  <c r="N910" i="1"/>
  <c r="N808" i="1"/>
  <c r="N809" i="1"/>
  <c r="N821" i="1"/>
  <c r="N822" i="1"/>
  <c r="N913" i="1"/>
  <c r="N914" i="1"/>
  <c r="N940" i="1"/>
  <c r="N941" i="1"/>
  <c r="N942" i="1"/>
  <c r="N943" i="1"/>
  <c r="N946" i="1"/>
  <c r="N947" i="1"/>
  <c r="N948" i="1"/>
  <c r="N949" i="1"/>
  <c r="N877" i="1"/>
  <c r="N878" i="1"/>
  <c r="N757" i="1"/>
  <c r="N944" i="1"/>
  <c r="N851" i="1"/>
  <c r="N692" i="1"/>
  <c r="N977" i="1"/>
  <c r="N880" i="1"/>
  <c r="N881" i="1"/>
  <c r="N713" i="1"/>
  <c r="N714" i="1"/>
  <c r="N978" i="1"/>
  <c r="N979" i="1"/>
  <c r="N704" i="1"/>
  <c r="N981" i="1"/>
  <c r="N730" i="1"/>
  <c r="N731" i="1"/>
  <c r="N986" i="1"/>
  <c r="N987" i="1"/>
  <c r="N988" i="1"/>
  <c r="N989" i="1"/>
  <c r="N990" i="1"/>
  <c r="N991" i="1"/>
  <c r="N732" i="1"/>
  <c r="N696" i="1"/>
  <c r="N697" i="1"/>
  <c r="N994" i="1"/>
  <c r="N698" i="1"/>
  <c r="N683" i="1"/>
  <c r="N684" i="1"/>
  <c r="N685" i="1"/>
  <c r="N705" i="1"/>
  <c r="N706" i="1"/>
  <c r="N686" i="1"/>
  <c r="N687" i="1"/>
  <c r="N688" i="1"/>
  <c r="N715" i="1"/>
  <c r="N716" i="1"/>
  <c r="N717" i="1"/>
  <c r="N718" i="1"/>
  <c r="N721" i="1"/>
  <c r="N722" i="1"/>
  <c r="N671" i="1"/>
  <c r="N699" i="1"/>
  <c r="N700" i="1"/>
  <c r="N689" i="1"/>
  <c r="N673" i="1"/>
  <c r="N703" i="1"/>
  <c r="N690" i="1"/>
  <c r="N691" i="1"/>
  <c r="N693" i="1"/>
  <c r="N670" i="1"/>
  <c r="N709" i="1"/>
  <c r="N710" i="1"/>
  <c r="N669" i="1"/>
  <c r="N707" i="1"/>
  <c r="N708" i="1"/>
  <c r="N729" i="1"/>
  <c r="N1003" i="1"/>
  <c r="N1004" i="1"/>
  <c r="N1005" i="1"/>
  <c r="N1006" i="1"/>
  <c r="N1007" i="1"/>
  <c r="N711" i="1"/>
  <c r="N712" i="1"/>
  <c r="N672" i="1"/>
  <c r="N701" i="1"/>
  <c r="N702" i="1"/>
  <c r="N680" i="1"/>
  <c r="N681" i="1"/>
  <c r="N682" i="1"/>
  <c r="N719" i="1"/>
  <c r="N720" i="1"/>
  <c r="N723" i="1"/>
  <c r="N724" i="1"/>
  <c r="N725" i="1"/>
  <c r="N726" i="1"/>
  <c r="N666" i="1"/>
  <c r="N727" i="1"/>
  <c r="N728" i="1"/>
  <c r="N694" i="1"/>
  <c r="N695" i="1"/>
  <c r="N774" i="1"/>
  <c r="N775" i="1"/>
  <c r="P285" i="1" l="1"/>
  <c r="P342" i="1"/>
  <c r="P623" i="1"/>
  <c r="P624" i="1"/>
  <c r="P692" i="1"/>
  <c r="P76" i="1"/>
  <c r="P77" i="1"/>
  <c r="P78" i="1"/>
  <c r="P79" i="1"/>
  <c r="P80" i="1"/>
  <c r="P81" i="1"/>
  <c r="P82" i="1"/>
  <c r="P83" i="1"/>
  <c r="P84" i="1"/>
  <c r="P85" i="1"/>
  <c r="P86" i="1"/>
  <c r="P87" i="1"/>
  <c r="P88" i="1"/>
  <c r="P69" i="1"/>
  <c r="P70" i="1"/>
  <c r="P71" i="1"/>
  <c r="P72" i="1"/>
  <c r="P73" i="1"/>
  <c r="P74" i="1"/>
  <c r="P75" i="1"/>
  <c r="P89" i="1"/>
  <c r="P90" i="1"/>
  <c r="P91" i="1"/>
  <c r="P92" i="1"/>
  <c r="P93" i="1"/>
  <c r="P94" i="1"/>
  <c r="P95" i="1"/>
  <c r="P96" i="1"/>
  <c r="P97" i="1"/>
  <c r="P98" i="1"/>
  <c r="P99" i="1"/>
  <c r="P100" i="1"/>
  <c r="P101" i="1"/>
  <c r="P102" i="1"/>
  <c r="P103" i="1"/>
  <c r="P104" i="1"/>
  <c r="P105" i="1"/>
  <c r="P106" i="1"/>
  <c r="P107" i="1"/>
  <c r="P108" i="1"/>
  <c r="P109" i="1"/>
  <c r="P110" i="1"/>
  <c r="P111" i="1"/>
  <c r="P112" i="1"/>
  <c r="P113" i="1"/>
  <c r="P114" i="1"/>
  <c r="P115" i="1"/>
  <c r="P239" i="1"/>
  <c r="P240" i="1"/>
  <c r="P241" i="1"/>
  <c r="P242" i="1"/>
  <c r="P243" i="1"/>
  <c r="P244" i="1"/>
  <c r="P245" i="1"/>
  <c r="P246" i="1"/>
  <c r="P976" i="1"/>
  <c r="P977" i="1"/>
  <c r="P22" i="1"/>
  <c r="P880" i="1"/>
  <c r="P881" i="1"/>
  <c r="P279" i="1"/>
  <c r="P332" i="1"/>
  <c r="P655" i="1"/>
  <c r="P713" i="1"/>
  <c r="P714" i="1"/>
  <c r="P978" i="1"/>
  <c r="P979" i="1"/>
  <c r="P980" i="1"/>
  <c r="P274" i="1"/>
  <c r="P338" i="1"/>
  <c r="P648" i="1"/>
  <c r="P704" i="1"/>
  <c r="P275" i="1"/>
  <c r="P339" i="1"/>
  <c r="P618" i="1"/>
  <c r="P619" i="1"/>
  <c r="P649" i="1"/>
  <c r="P981" i="1"/>
  <c r="P982" i="1"/>
  <c r="P983" i="1"/>
  <c r="P984" i="1"/>
  <c r="P251" i="1"/>
  <c r="P331" i="1"/>
  <c r="P660" i="1"/>
  <c r="P730" i="1"/>
  <c r="P731" i="1"/>
  <c r="P985" i="1"/>
  <c r="P116" i="1"/>
  <c r="P117" i="1"/>
  <c r="P118" i="1"/>
  <c r="P119" i="1"/>
  <c r="P120" i="1"/>
  <c r="P121" i="1"/>
  <c r="P122" i="1"/>
  <c r="P267" i="1"/>
  <c r="P646" i="1"/>
  <c r="P986" i="1"/>
  <c r="P987" i="1"/>
  <c r="P988" i="1"/>
  <c r="P989" i="1"/>
  <c r="P990" i="1"/>
  <c r="P991" i="1"/>
  <c r="P661" i="1"/>
  <c r="P732" i="1"/>
  <c r="P659" i="1"/>
  <c r="P696" i="1"/>
  <c r="P697" i="1"/>
  <c r="P33" i="1"/>
  <c r="P992" i="1"/>
  <c r="P993" i="1"/>
  <c r="P994" i="1"/>
  <c r="P276" i="1"/>
  <c r="P620" i="1"/>
  <c r="P698" i="1"/>
  <c r="P32" i="1"/>
  <c r="P653" i="1"/>
  <c r="P654" i="1"/>
  <c r="P651" i="1"/>
  <c r="P652" i="1"/>
  <c r="P254" i="1"/>
  <c r="P401" i="1"/>
  <c r="P123" i="1"/>
  <c r="P124" i="1"/>
  <c r="P125" i="1"/>
  <c r="P683" i="1"/>
  <c r="P684" i="1"/>
  <c r="P685" i="1"/>
  <c r="P284" i="1"/>
  <c r="P340" i="1"/>
  <c r="P650" i="1"/>
  <c r="P705" i="1"/>
  <c r="P706" i="1"/>
  <c r="P402" i="1"/>
  <c r="P403" i="1"/>
  <c r="P647" i="1"/>
  <c r="P686" i="1"/>
  <c r="P687" i="1"/>
  <c r="P688" i="1"/>
  <c r="P625" i="1"/>
  <c r="P280" i="1"/>
  <c r="P333" i="1"/>
  <c r="P656" i="1"/>
  <c r="P715" i="1"/>
  <c r="P716" i="1"/>
  <c r="P334" i="1"/>
  <c r="P657" i="1"/>
  <c r="P717" i="1"/>
  <c r="P718" i="1"/>
  <c r="P658" i="1"/>
  <c r="P721" i="1"/>
  <c r="P722" i="1"/>
  <c r="P252" i="1"/>
  <c r="P266" i="1"/>
  <c r="P23" i="1"/>
  <c r="P35" i="1"/>
  <c r="P442" i="1"/>
  <c r="P443" i="1"/>
  <c r="P277" i="1"/>
  <c r="P341" i="1"/>
  <c r="P621" i="1"/>
  <c r="P671" i="1"/>
  <c r="P699" i="1"/>
  <c r="P700" i="1"/>
  <c r="P126" i="1"/>
  <c r="P127" i="1"/>
  <c r="P128" i="1"/>
  <c r="P129" i="1"/>
  <c r="P249" i="1"/>
  <c r="P369" i="1"/>
  <c r="P400" i="1"/>
  <c r="P263" i="1"/>
  <c r="P597" i="1"/>
  <c r="P394" i="1"/>
  <c r="P130" i="1"/>
  <c r="P362" i="1"/>
  <c r="P395" i="1"/>
  <c r="P265" i="1"/>
  <c r="P364" i="1"/>
  <c r="P391" i="1"/>
  <c r="P260" i="1"/>
  <c r="P24" i="1"/>
  <c r="P25" i="1"/>
  <c r="P26" i="1"/>
  <c r="P302" i="1"/>
  <c r="P689" i="1"/>
  <c r="P300" i="1"/>
  <c r="P673" i="1"/>
  <c r="P703" i="1"/>
  <c r="P304" i="1"/>
  <c r="P303" i="1"/>
  <c r="P690" i="1"/>
  <c r="P691" i="1"/>
  <c r="P675" i="1"/>
  <c r="P131" i="1"/>
  <c r="P132" i="1"/>
  <c r="P133" i="1"/>
  <c r="P134" i="1"/>
  <c r="P135" i="1"/>
  <c r="P136" i="1"/>
  <c r="P137" i="1"/>
  <c r="P138" i="1"/>
  <c r="P139" i="1"/>
  <c r="P140" i="1"/>
  <c r="P336" i="1"/>
  <c r="P282" i="1"/>
  <c r="P404" i="1"/>
  <c r="P405" i="1"/>
  <c r="P264" i="1"/>
  <c r="P268" i="1"/>
  <c r="P358" i="1"/>
  <c r="P359" i="1"/>
  <c r="P603" i="1"/>
  <c r="P487" i="1"/>
  <c r="P488" i="1"/>
  <c r="P34" i="1"/>
  <c r="P489" i="1"/>
  <c r="P490" i="1"/>
  <c r="P491" i="1"/>
  <c r="P492" i="1"/>
  <c r="P506" i="1"/>
  <c r="P507" i="1"/>
  <c r="P493" i="1"/>
  <c r="P494" i="1"/>
  <c r="P508" i="1"/>
  <c r="P509" i="1"/>
  <c r="P510" i="1"/>
  <c r="P511" i="1"/>
  <c r="P512" i="1"/>
  <c r="P513" i="1"/>
  <c r="P514" i="1"/>
  <c r="P515" i="1"/>
  <c r="P516" i="1"/>
  <c r="P495" i="1"/>
  <c r="P496" i="1"/>
  <c r="P497" i="1"/>
  <c r="P261" i="1"/>
  <c r="P281" i="1"/>
  <c r="P335" i="1"/>
  <c r="P663" i="1"/>
  <c r="P294" i="1"/>
  <c r="P283" i="1"/>
  <c r="P337" i="1"/>
  <c r="P627" i="1"/>
  <c r="P628" i="1"/>
  <c r="P693" i="1"/>
  <c r="P36" i="1"/>
  <c r="P270" i="1"/>
  <c r="P298" i="1"/>
  <c r="P517" i="1"/>
  <c r="P518" i="1"/>
  <c r="P519" i="1"/>
  <c r="P141" i="1"/>
  <c r="P142" i="1"/>
  <c r="P143" i="1"/>
  <c r="P144" i="1"/>
  <c r="P145" i="1"/>
  <c r="P674" i="1"/>
  <c r="P306" i="1"/>
  <c r="P343" i="1"/>
  <c r="P670" i="1"/>
  <c r="P709" i="1"/>
  <c r="P710" i="1"/>
  <c r="P344" i="1"/>
  <c r="P253" i="1"/>
  <c r="P345" i="1"/>
  <c r="P622" i="1"/>
  <c r="P278" i="1"/>
  <c r="P347" i="1"/>
  <c r="P669" i="1"/>
  <c r="P707" i="1"/>
  <c r="P708" i="1"/>
  <c r="P146" i="1"/>
  <c r="P147" i="1"/>
  <c r="P148" i="1"/>
  <c r="P149" i="1"/>
  <c r="P150" i="1"/>
  <c r="P151" i="1"/>
  <c r="P152" i="1"/>
  <c r="P153" i="1"/>
  <c r="P154" i="1"/>
  <c r="P155" i="1"/>
  <c r="P156" i="1"/>
  <c r="P157" i="1"/>
  <c r="P158" i="1"/>
  <c r="P159" i="1"/>
  <c r="P160" i="1"/>
  <c r="P161" i="1"/>
  <c r="P162" i="1"/>
  <c r="P163" i="1"/>
  <c r="P164" i="1"/>
  <c r="P165" i="1"/>
  <c r="P166" i="1"/>
  <c r="P167" i="1"/>
  <c r="P168" i="1"/>
  <c r="P250" i="1"/>
  <c r="P961" i="1"/>
  <c r="P962" i="1"/>
  <c r="P963" i="1"/>
  <c r="P964" i="1"/>
  <c r="P965" i="1"/>
  <c r="P966" i="1"/>
  <c r="P967" i="1"/>
  <c r="P968" i="1"/>
  <c r="P969" i="1"/>
  <c r="P970" i="1"/>
  <c r="P971" i="1"/>
  <c r="P972" i="1"/>
  <c r="P973" i="1"/>
  <c r="P974" i="1"/>
  <c r="P975" i="1"/>
  <c r="P169" i="1"/>
  <c r="P170" i="1"/>
  <c r="P171" i="1"/>
  <c r="P172" i="1"/>
  <c r="P173" i="1"/>
  <c r="P174" i="1"/>
  <c r="P485" i="1"/>
  <c r="P486" i="1"/>
  <c r="P626" i="1"/>
  <c r="P286" i="1"/>
  <c r="P474" i="1"/>
  <c r="P475" i="1"/>
  <c r="P476" i="1"/>
  <c r="P477" i="1"/>
  <c r="P478" i="1"/>
  <c r="P479" i="1"/>
  <c r="P480" i="1"/>
  <c r="P481" i="1"/>
  <c r="P482" i="1"/>
  <c r="P483" i="1"/>
  <c r="P484" i="1"/>
  <c r="P255" i="1"/>
  <c r="P367" i="1"/>
  <c r="P398" i="1"/>
  <c r="P368" i="1"/>
  <c r="P399" i="1"/>
  <c r="P598" i="1"/>
  <c r="P430" i="1"/>
  <c r="P431" i="1"/>
  <c r="P432" i="1"/>
  <c r="P27" i="1"/>
  <c r="P28" i="1"/>
  <c r="P676" i="1"/>
  <c r="P677" i="1"/>
  <c r="P678" i="1"/>
  <c r="P679" i="1"/>
  <c r="P296" i="1"/>
  <c r="P295" i="1"/>
  <c r="P273" i="1"/>
  <c r="P605" i="1"/>
  <c r="P256" i="1"/>
  <c r="P301" i="1"/>
  <c r="P594" i="1"/>
  <c r="P595" i="1"/>
  <c r="P247" i="1"/>
  <c r="P592" i="1"/>
  <c r="P591" i="1"/>
  <c r="P593" i="1"/>
  <c r="P38" i="1"/>
  <c r="P248" i="1"/>
  <c r="P606" i="1"/>
  <c r="P446" i="1"/>
  <c r="P729" i="1"/>
  <c r="P406" i="1"/>
  <c r="P407" i="1"/>
  <c r="P408" i="1"/>
  <c r="P259" i="1"/>
  <c r="P409" i="1"/>
  <c r="P410" i="1"/>
  <c r="P411" i="1"/>
  <c r="P355" i="1"/>
  <c r="P450" i="1"/>
  <c r="P451" i="1"/>
  <c r="P452" i="1"/>
  <c r="P607" i="1"/>
  <c r="P356" i="1"/>
  <c r="P453" i="1"/>
  <c r="P454" i="1"/>
  <c r="P455" i="1"/>
  <c r="P608" i="1"/>
  <c r="P456" i="1"/>
  <c r="P457" i="1"/>
  <c r="P458" i="1"/>
  <c r="P609" i="1"/>
  <c r="P498" i="1"/>
  <c r="P499" i="1"/>
  <c r="P500" i="1"/>
  <c r="P501" i="1"/>
  <c r="P502" i="1"/>
  <c r="P503" i="1"/>
  <c r="P733" i="1"/>
  <c r="P734" i="1"/>
  <c r="P735" i="1"/>
  <c r="P736" i="1"/>
  <c r="P737" i="1"/>
  <c r="P738" i="1"/>
  <c r="P739" i="1"/>
  <c r="P740" i="1"/>
  <c r="P741" i="1"/>
  <c r="P742" i="1"/>
  <c r="P743" i="1"/>
  <c r="P744" i="1"/>
  <c r="P745" i="1"/>
  <c r="P746" i="1"/>
  <c r="P747" i="1"/>
  <c r="P748" i="1"/>
  <c r="P749" i="1"/>
  <c r="P750" i="1"/>
  <c r="P599" i="1"/>
  <c r="P262" i="1"/>
  <c r="P882" i="1"/>
  <c r="P883" i="1"/>
  <c r="P884" i="1"/>
  <c r="P885" i="1"/>
  <c r="P886" i="1"/>
  <c r="P887" i="1"/>
  <c r="P888" i="1"/>
  <c r="P889" i="1"/>
  <c r="P890" i="1"/>
  <c r="P891" i="1"/>
  <c r="P892" i="1"/>
  <c r="P893" i="1"/>
  <c r="P894" i="1"/>
  <c r="P895" i="1"/>
  <c r="P896" i="1"/>
  <c r="P897" i="1"/>
  <c r="P898" i="1"/>
  <c r="P899" i="1"/>
  <c r="P900" i="1"/>
  <c r="P901" i="1"/>
  <c r="P902" i="1"/>
  <c r="P903" i="1"/>
  <c r="P316" i="1"/>
  <c r="P357" i="1"/>
  <c r="P317" i="1"/>
  <c r="P465" i="1"/>
  <c r="P466" i="1"/>
  <c r="P467" i="1"/>
  <c r="P468" i="1"/>
  <c r="P469" i="1"/>
  <c r="P470" i="1"/>
  <c r="P616" i="1"/>
  <c r="P751" i="1"/>
  <c r="P752" i="1"/>
  <c r="P753" i="1"/>
  <c r="P754" i="1"/>
  <c r="P755" i="1"/>
  <c r="P756" i="1"/>
  <c r="P757" i="1"/>
  <c r="P904" i="1"/>
  <c r="P905" i="1"/>
  <c r="P906" i="1"/>
  <c r="P907" i="1"/>
  <c r="P908" i="1"/>
  <c r="P909" i="1"/>
  <c r="P758" i="1"/>
  <c r="P759" i="1"/>
  <c r="P760" i="1"/>
  <c r="P761" i="1"/>
  <c r="P762" i="1"/>
  <c r="P763" i="1"/>
  <c r="P764" i="1"/>
  <c r="P765" i="1"/>
  <c r="P766" i="1"/>
  <c r="P767" i="1"/>
  <c r="P471" i="1"/>
  <c r="P472" i="1"/>
  <c r="P473" i="1"/>
  <c r="P768" i="1"/>
  <c r="P769" i="1"/>
  <c r="P770" i="1"/>
  <c r="P771" i="1"/>
  <c r="P772" i="1"/>
  <c r="P773" i="1"/>
  <c r="P774" i="1"/>
  <c r="P775" i="1"/>
  <c r="P776" i="1"/>
  <c r="P777" i="1"/>
  <c r="P778" i="1"/>
  <c r="P779" i="1"/>
  <c r="P780" i="1"/>
  <c r="P781" i="1"/>
  <c r="P782" i="1"/>
  <c r="P783" i="1"/>
  <c r="P784" i="1"/>
  <c r="P785" i="1"/>
  <c r="P786" i="1"/>
  <c r="P787" i="1"/>
  <c r="P788" i="1"/>
  <c r="P789" i="1"/>
  <c r="P790" i="1"/>
  <c r="P791" i="1"/>
  <c r="P792" i="1"/>
  <c r="P793" i="1"/>
  <c r="P794" i="1"/>
  <c r="P795" i="1"/>
  <c r="P796" i="1"/>
  <c r="P910" i="1"/>
  <c r="P365" i="1"/>
  <c r="P387" i="1"/>
  <c r="P388" i="1"/>
  <c r="P601" i="1"/>
  <c r="P797" i="1"/>
  <c r="P798" i="1"/>
  <c r="P799" i="1"/>
  <c r="P800" i="1"/>
  <c r="P801" i="1"/>
  <c r="P802" i="1"/>
  <c r="P803" i="1"/>
  <c r="P804" i="1"/>
  <c r="P805" i="1"/>
  <c r="P806" i="1"/>
  <c r="P807" i="1"/>
  <c r="P808" i="1"/>
  <c r="P809" i="1"/>
  <c r="P810" i="1"/>
  <c r="P811" i="1"/>
  <c r="P812" i="1"/>
  <c r="P813" i="1"/>
  <c r="P814" i="1"/>
  <c r="P815" i="1"/>
  <c r="P816" i="1"/>
  <c r="P817" i="1"/>
  <c r="P818" i="1"/>
  <c r="P819" i="1"/>
  <c r="P820" i="1"/>
  <c r="P821" i="1"/>
  <c r="P822" i="1"/>
  <c r="P823" i="1"/>
  <c r="P824" i="1"/>
  <c r="P825" i="1"/>
  <c r="P826" i="1"/>
  <c r="P827" i="1"/>
  <c r="P828" i="1"/>
  <c r="P829" i="1"/>
  <c r="P830" i="1"/>
  <c r="P911" i="1"/>
  <c r="P912" i="1"/>
  <c r="P913" i="1"/>
  <c r="P914" i="1"/>
  <c r="P915" i="1"/>
  <c r="P916" i="1"/>
  <c r="P917" i="1"/>
  <c r="P918" i="1"/>
  <c r="P919" i="1"/>
  <c r="P920" i="1"/>
  <c r="P921" i="1"/>
  <c r="P922" i="1"/>
  <c r="P923" i="1"/>
  <c r="P924" i="1"/>
  <c r="P925" i="1"/>
  <c r="P926" i="1"/>
  <c r="P927" i="1"/>
  <c r="P928" i="1"/>
  <c r="P929" i="1"/>
  <c r="P930" i="1"/>
  <c r="P931" i="1"/>
  <c r="P932" i="1"/>
  <c r="P933" i="1"/>
  <c r="P934" i="1"/>
  <c r="P935" i="1"/>
  <c r="P936" i="1"/>
  <c r="P937" i="1"/>
  <c r="P938" i="1"/>
  <c r="P939" i="1"/>
  <c r="P940" i="1"/>
  <c r="P941" i="1"/>
  <c r="P942" i="1"/>
  <c r="P943" i="1"/>
  <c r="P944" i="1"/>
  <c r="P504" i="1"/>
  <c r="P505" i="1"/>
  <c r="P444" i="1"/>
  <c r="P445" i="1"/>
  <c r="P831" i="1"/>
  <c r="P832" i="1"/>
  <c r="P833" i="1"/>
  <c r="P834" i="1"/>
  <c r="P835" i="1"/>
  <c r="P836" i="1"/>
  <c r="P837" i="1"/>
  <c r="P838" i="1"/>
  <c r="P839" i="1"/>
  <c r="P945" i="1"/>
  <c r="P946" i="1"/>
  <c r="P947" i="1"/>
  <c r="P840" i="1"/>
  <c r="P841" i="1"/>
  <c r="P842" i="1"/>
  <c r="P843" i="1"/>
  <c r="P844" i="1"/>
  <c r="P845" i="1"/>
  <c r="P847" i="1"/>
  <c r="P846" i="1"/>
  <c r="P848" i="1"/>
  <c r="P849" i="1"/>
  <c r="P850" i="1"/>
  <c r="P851" i="1"/>
  <c r="P852" i="1"/>
  <c r="P853" i="1"/>
  <c r="P854" i="1"/>
  <c r="P855" i="1"/>
  <c r="P856" i="1"/>
  <c r="P857" i="1"/>
  <c r="P858" i="1"/>
  <c r="P859" i="1"/>
  <c r="P860" i="1"/>
  <c r="P861" i="1"/>
  <c r="P862" i="1"/>
  <c r="P863" i="1"/>
  <c r="P864" i="1"/>
  <c r="P865" i="1"/>
  <c r="P866" i="1"/>
  <c r="P867" i="1"/>
  <c r="P948" i="1"/>
  <c r="P949" i="1"/>
  <c r="P868" i="1"/>
  <c r="P869" i="1"/>
  <c r="P870" i="1"/>
  <c r="P871" i="1"/>
  <c r="P872" i="1"/>
  <c r="P873" i="1"/>
  <c r="P874" i="1"/>
  <c r="P875" i="1"/>
  <c r="P876" i="1"/>
  <c r="P877" i="1"/>
  <c r="P878" i="1"/>
  <c r="P950" i="1"/>
  <c r="P951" i="1"/>
  <c r="P952" i="1"/>
  <c r="P953" i="1"/>
  <c r="P954" i="1"/>
  <c r="P955" i="1"/>
  <c r="P956" i="1"/>
  <c r="P957" i="1"/>
  <c r="P958" i="1"/>
  <c r="P959" i="1"/>
  <c r="P960" i="1"/>
  <c r="P258" i="1"/>
  <c r="P520" i="1"/>
  <c r="P521" i="1"/>
  <c r="P522" i="1"/>
  <c r="P447" i="1"/>
  <c r="P448" i="1"/>
  <c r="P449" i="1"/>
  <c r="P459" i="1"/>
  <c r="P460" i="1"/>
  <c r="P461" i="1"/>
  <c r="P610" i="1"/>
  <c r="P418" i="1"/>
  <c r="P419" i="1"/>
  <c r="P420" i="1"/>
  <c r="P612" i="1"/>
  <c r="P630" i="1"/>
  <c r="P361" i="1"/>
  <c r="P307" i="1"/>
  <c r="P354" i="1"/>
  <c r="P374" i="1"/>
  <c r="P318" i="1"/>
  <c r="P375" i="1"/>
  <c r="P376" i="1"/>
  <c r="P377" i="1"/>
  <c r="P617" i="1"/>
  <c r="P366" i="1"/>
  <c r="P392" i="1"/>
  <c r="P393" i="1"/>
  <c r="P523" i="1"/>
  <c r="P524" i="1"/>
  <c r="P525" i="1"/>
  <c r="P462" i="1"/>
  <c r="P463" i="1"/>
  <c r="P464" i="1"/>
  <c r="P611" i="1"/>
  <c r="P439" i="1"/>
  <c r="P440" i="1"/>
  <c r="P441" i="1"/>
  <c r="P629" i="1"/>
  <c r="P353" i="1"/>
  <c r="P427" i="1"/>
  <c r="P428" i="1"/>
  <c r="P429" i="1"/>
  <c r="P615" i="1"/>
  <c r="P421" i="1"/>
  <c r="P422" i="1"/>
  <c r="P423" i="1"/>
  <c r="P613" i="1"/>
  <c r="P325" i="1"/>
  <c r="P433" i="1"/>
  <c r="P434" i="1"/>
  <c r="P435" i="1"/>
  <c r="P436" i="1"/>
  <c r="P437" i="1"/>
  <c r="P438" i="1"/>
  <c r="P631" i="1"/>
  <c r="P602" i="1"/>
  <c r="P412" i="1"/>
  <c r="P413" i="1"/>
  <c r="P414" i="1"/>
  <c r="P600" i="1"/>
  <c r="P424" i="1"/>
  <c r="P425" i="1"/>
  <c r="P426" i="1"/>
  <c r="P614" i="1"/>
  <c r="P596" i="1"/>
  <c r="P584" i="1"/>
  <c r="P585" i="1"/>
  <c r="P586" i="1"/>
  <c r="P635" i="1"/>
  <c r="P363" i="1"/>
  <c r="P396" i="1"/>
  <c r="P397" i="1"/>
  <c r="P415" i="1"/>
  <c r="P416" i="1"/>
  <c r="P417" i="1"/>
  <c r="P633" i="1"/>
  <c r="P572" i="1"/>
  <c r="P573" i="1"/>
  <c r="P574" i="1"/>
  <c r="P632" i="1"/>
  <c r="P269" i="1"/>
  <c r="P314" i="1"/>
  <c r="P578" i="1"/>
  <c r="P579" i="1"/>
  <c r="P580" i="1"/>
  <c r="P313" i="1"/>
  <c r="P581" i="1"/>
  <c r="P582" i="1"/>
  <c r="P583" i="1"/>
  <c r="P330" i="1"/>
  <c r="P587" i="1"/>
  <c r="P588" i="1"/>
  <c r="P589" i="1"/>
  <c r="P328" i="1"/>
  <c r="P326" i="1"/>
  <c r="P327" i="1"/>
  <c r="P552" i="1"/>
  <c r="P553" i="1"/>
  <c r="P554" i="1"/>
  <c r="P308" i="1"/>
  <c r="P389" i="1"/>
  <c r="P390" i="1"/>
  <c r="P272" i="1"/>
  <c r="P271" i="1"/>
  <c r="P360" i="1"/>
  <c r="P310" i="1"/>
  <c r="P311" i="1"/>
  <c r="P312" i="1"/>
  <c r="P546" i="1"/>
  <c r="P547" i="1"/>
  <c r="P548" i="1"/>
  <c r="P315" i="1"/>
  <c r="P555" i="1"/>
  <c r="P556" i="1"/>
  <c r="P557" i="1"/>
  <c r="P558" i="1"/>
  <c r="P559" i="1"/>
  <c r="P636" i="1"/>
  <c r="P329" i="1"/>
  <c r="P575" i="1"/>
  <c r="P576" i="1"/>
  <c r="P577" i="1"/>
  <c r="P385" i="1"/>
  <c r="P386" i="1"/>
  <c r="P383" i="1"/>
  <c r="P384" i="1"/>
  <c r="P604" i="1"/>
  <c r="P175" i="1"/>
  <c r="P176" i="1"/>
  <c r="P177" i="1"/>
  <c r="P178" i="1"/>
  <c r="P47" i="1"/>
  <c r="P48" i="1"/>
  <c r="P49" i="1"/>
  <c r="P50" i="1"/>
  <c r="P51" i="1"/>
  <c r="P52" i="1"/>
  <c r="P53" i="1"/>
  <c r="P54" i="1"/>
  <c r="P55" i="1"/>
  <c r="P56" i="1"/>
  <c r="P57" i="1"/>
  <c r="P58" i="1"/>
  <c r="P59" i="1"/>
  <c r="P60" i="1"/>
  <c r="P61" i="1"/>
  <c r="P62" i="1"/>
  <c r="P63" i="1"/>
  <c r="P64" i="1"/>
  <c r="P65" i="1"/>
  <c r="P66" i="1"/>
  <c r="P67" i="1"/>
  <c r="P68" i="1"/>
  <c r="P179" i="1"/>
  <c r="P180" i="1"/>
  <c r="P181" i="1"/>
  <c r="P182" i="1"/>
  <c r="P183" i="1"/>
  <c r="P184" i="1"/>
  <c r="P185" i="1"/>
  <c r="P186" i="1"/>
  <c r="P187" i="1"/>
  <c r="P188" i="1"/>
  <c r="P189" i="1"/>
  <c r="P190" i="1"/>
  <c r="P191" i="1"/>
  <c r="P192" i="1"/>
  <c r="P193" i="1"/>
  <c r="P194" i="1"/>
  <c r="P37" i="1"/>
  <c r="P560" i="1"/>
  <c r="P561" i="1"/>
  <c r="P562" i="1"/>
  <c r="P641" i="1"/>
  <c r="P537" i="1"/>
  <c r="P538" i="1"/>
  <c r="P539" i="1"/>
  <c r="P540" i="1"/>
  <c r="P541" i="1"/>
  <c r="P542" i="1"/>
  <c r="P309" i="1"/>
  <c r="P543" i="1"/>
  <c r="P544" i="1"/>
  <c r="P545" i="1"/>
  <c r="P996" i="1"/>
  <c r="P995" i="1"/>
  <c r="P997" i="1"/>
  <c r="P998" i="1"/>
  <c r="P999" i="1"/>
  <c r="P1000" i="1"/>
  <c r="P1001" i="1"/>
  <c r="P1002" i="1"/>
  <c r="P1003" i="1"/>
  <c r="P1004" i="1"/>
  <c r="P1005" i="1"/>
  <c r="P1006" i="1"/>
  <c r="P1007" i="1"/>
  <c r="P195" i="1"/>
  <c r="P196" i="1"/>
  <c r="P197" i="1"/>
  <c r="P198" i="1"/>
  <c r="P297" i="1"/>
  <c r="P40" i="1"/>
  <c r="P41" i="1"/>
  <c r="P42" i="1"/>
  <c r="P43" i="1"/>
  <c r="P44" i="1"/>
  <c r="P45" i="1"/>
  <c r="P46" i="1"/>
  <c r="P291" i="1"/>
  <c r="P292" i="1"/>
  <c r="P287" i="1"/>
  <c r="P293" i="1"/>
  <c r="P382" i="1"/>
  <c r="P526" i="1"/>
  <c r="P662" i="1"/>
  <c r="P711" i="1"/>
  <c r="P712" i="1"/>
  <c r="P348" i="1"/>
  <c r="P672" i="1"/>
  <c r="P701" i="1"/>
  <c r="P702" i="1"/>
  <c r="P667" i="1"/>
  <c r="P668" i="1"/>
  <c r="P680" i="1"/>
  <c r="P681" i="1"/>
  <c r="P682" i="1"/>
  <c r="P3" i="1"/>
  <c r="P4" i="1"/>
  <c r="P199" i="1"/>
  <c r="P200" i="1"/>
  <c r="P201" i="1"/>
  <c r="P202" i="1"/>
  <c r="P203" i="1"/>
  <c r="P204" i="1"/>
  <c r="P257" i="1"/>
  <c r="P288" i="1"/>
  <c r="P349" i="1"/>
  <c r="P719" i="1"/>
  <c r="P720" i="1"/>
  <c r="P664" i="1"/>
  <c r="P723" i="1"/>
  <c r="P724" i="1"/>
  <c r="P346" i="1"/>
  <c r="P665" i="1"/>
  <c r="P725" i="1"/>
  <c r="P726" i="1"/>
  <c r="P666" i="1"/>
  <c r="P727" i="1"/>
  <c r="P728" i="1"/>
  <c r="P205" i="1"/>
  <c r="P206" i="1"/>
  <c r="P207" i="1"/>
  <c r="P208" i="1"/>
  <c r="P209" i="1"/>
  <c r="P566" i="1"/>
  <c r="P567" i="1"/>
  <c r="P568" i="1"/>
  <c r="P378" i="1"/>
  <c r="P319" i="1"/>
  <c r="P320" i="1"/>
  <c r="P379" i="1"/>
  <c r="P380" i="1"/>
  <c r="P381" i="1"/>
  <c r="P637" i="1"/>
  <c r="P289" i="1"/>
  <c r="P321" i="1"/>
  <c r="P322" i="1"/>
  <c r="P527" i="1"/>
  <c r="P528" i="1"/>
  <c r="P529" i="1"/>
  <c r="P530" i="1"/>
  <c r="P531" i="1"/>
  <c r="P638" i="1"/>
  <c r="P694" i="1"/>
  <c r="P323" i="1"/>
  <c r="P352" i="1"/>
  <c r="P290" i="1"/>
  <c r="P324" i="1"/>
  <c r="P532" i="1"/>
  <c r="P533" i="1"/>
  <c r="P534" i="1"/>
  <c r="P535" i="1"/>
  <c r="P536" i="1"/>
  <c r="P639" i="1"/>
  <c r="P695" i="1"/>
  <c r="P549" i="1"/>
  <c r="P550" i="1"/>
  <c r="P551" i="1"/>
  <c r="P634" i="1"/>
  <c r="P569" i="1"/>
  <c r="P570" i="1"/>
  <c r="P571" i="1"/>
  <c r="P643" i="1"/>
  <c r="P563" i="1"/>
  <c r="P564" i="1"/>
  <c r="P565" i="1"/>
  <c r="P642" i="1"/>
  <c r="P640" i="1"/>
  <c r="P210" i="1"/>
  <c r="P211" i="1"/>
  <c r="P212" i="1"/>
  <c r="P213" i="1"/>
  <c r="P214" i="1"/>
  <c r="P215" i="1"/>
  <c r="P216" i="1"/>
  <c r="P299" i="1"/>
  <c r="P644" i="1"/>
  <c r="P5" i="1"/>
  <c r="P6" i="1"/>
  <c r="P7" i="1"/>
  <c r="P8" i="1"/>
  <c r="P9" i="1"/>
  <c r="P10" i="1"/>
  <c r="P11" i="1"/>
  <c r="P12" i="1"/>
  <c r="P13" i="1"/>
  <c r="P14" i="1"/>
  <c r="P15" i="1"/>
  <c r="P16" i="1"/>
  <c r="P17" i="1"/>
  <c r="P18" i="1"/>
  <c r="P19" i="1"/>
  <c r="P20" i="1"/>
  <c r="P21" i="1"/>
  <c r="P305" i="1"/>
  <c r="P351" i="1"/>
  <c r="P217" i="1"/>
  <c r="P218" i="1"/>
  <c r="P219" i="1"/>
  <c r="P220" i="1"/>
  <c r="P221" i="1"/>
  <c r="P222" i="1"/>
  <c r="P223" i="1"/>
  <c r="P590" i="1"/>
  <c r="P224" i="1"/>
  <c r="P225" i="1"/>
  <c r="P226" i="1"/>
  <c r="P227" i="1"/>
  <c r="P228" i="1"/>
  <c r="P229" i="1"/>
  <c r="P230" i="1"/>
  <c r="P231" i="1"/>
  <c r="P232" i="1"/>
  <c r="P233" i="1"/>
  <c r="P234" i="1"/>
  <c r="P235" i="1"/>
  <c r="P236" i="1"/>
  <c r="P237" i="1"/>
  <c r="P238" i="1"/>
  <c r="P29" i="1"/>
  <c r="P30" i="1"/>
  <c r="P31" i="1"/>
  <c r="P879" i="1"/>
  <c r="P370" i="1"/>
  <c r="P371" i="1"/>
  <c r="P372" i="1"/>
  <c r="P373" i="1"/>
  <c r="P350" i="1"/>
  <c r="P645" i="1"/>
  <c r="P39" i="1"/>
</calcChain>
</file>

<file path=xl/sharedStrings.xml><?xml version="1.0" encoding="utf-8"?>
<sst xmlns="http://schemas.openxmlformats.org/spreadsheetml/2006/main" count="4738" uniqueCount="322">
  <si>
    <t>pc</t>
  </si>
  <si>
    <t>PC</t>
  </si>
  <si>
    <t>K</t>
  </si>
  <si>
    <t>DF</t>
  </si>
  <si>
    <t>Imediato</t>
  </si>
  <si>
    <t>S Con</t>
  </si>
  <si>
    <t>Un</t>
  </si>
  <si>
    <t>Observações</t>
  </si>
  <si>
    <t>Saldo</t>
  </si>
  <si>
    <t>Nac Trans</t>
  </si>
  <si>
    <t>Nac Coleta</t>
  </si>
  <si>
    <t>Nac Rec Mao</t>
  </si>
  <si>
    <t>Quant</t>
  </si>
  <si>
    <t>Tip</t>
  </si>
  <si>
    <t>Ped</t>
  </si>
  <si>
    <t>Código</t>
  </si>
  <si>
    <t>OrdemP</t>
  </si>
  <si>
    <t>Coleta</t>
  </si>
  <si>
    <t xml:space="preserve">Preço Un </t>
  </si>
  <si>
    <t>Preço Total</t>
  </si>
  <si>
    <t>OP</t>
  </si>
  <si>
    <t>OK</t>
  </si>
  <si>
    <t>Materia prima com defeito estava quebrando na dobra (material importado chegará dia 06/08) – previsão de entrega das peças até dia 12/08</t>
  </si>
  <si>
    <t/>
  </si>
  <si>
    <t>solicitando coleta em 04/08</t>
  </si>
  <si>
    <t>coleta solicitada em 03/08</t>
  </si>
  <si>
    <t>material em produção - previsão de entrega até 11/08</t>
  </si>
  <si>
    <t>LASER</t>
  </si>
  <si>
    <t xml:space="preserve"> </t>
  </si>
  <si>
    <t>EST OK - VK (29/07)</t>
  </si>
  <si>
    <t>EST OK - VK (06/07)</t>
  </si>
  <si>
    <t>EST OK - FM(28/07)</t>
  </si>
  <si>
    <t>material em tratamento superficial - previsão de entrega até 07/08</t>
  </si>
  <si>
    <t>EST OK</t>
  </si>
  <si>
    <t>FALTA NUT</t>
  </si>
  <si>
    <t>material em tratamento superficial - previsão de entrega até 06/08</t>
  </si>
  <si>
    <t>material em produção - previsão de entrega até 07/08</t>
  </si>
  <si>
    <t>EST OK (VK - 20/07)</t>
  </si>
  <si>
    <t>Est Ok - FM (30/07)</t>
  </si>
  <si>
    <t>CANCELADO</t>
  </si>
  <si>
    <t>ENGENHARIA</t>
  </si>
  <si>
    <t>material estava em 8W - previsão de entrega até 14/08</t>
  </si>
  <si>
    <t>material em pintura - previsão de entrega até 07/08</t>
  </si>
  <si>
    <t>EST OK - VK (03/07)</t>
  </si>
  <si>
    <t>Est Ok - FM (30/07) + 160</t>
  </si>
  <si>
    <t>EST OK (VK - 17/07)</t>
  </si>
  <si>
    <t>EST OK (VK - 20/05)</t>
  </si>
  <si>
    <t>Est ok (149p) - 3W 14/01</t>
  </si>
  <si>
    <t>EST OK - 07/07 (FM)</t>
  </si>
  <si>
    <t>EST OK - FM (30/07)</t>
  </si>
  <si>
    <t>EST OK - FM (30/07) + 1253</t>
  </si>
  <si>
    <t>EST OK (VK - 27/07)</t>
  </si>
  <si>
    <t>EST OK - FM (30/07) +100</t>
  </si>
  <si>
    <t>EST OK - AGUARDANDO ADESIVO</t>
  </si>
  <si>
    <t>comprar material</t>
  </si>
  <si>
    <t xml:space="preserve"> LASER</t>
  </si>
  <si>
    <t>Comprar Material</t>
  </si>
  <si>
    <t>LASER +30</t>
  </si>
  <si>
    <t>LASER +50</t>
  </si>
  <si>
    <t xml:space="preserve">  </t>
  </si>
  <si>
    <t xml:space="preserve">   </t>
  </si>
  <si>
    <t>ESTAMPAGEM</t>
  </si>
  <si>
    <t>ESTAMPAGEM (COMPRAR MAT)</t>
  </si>
  <si>
    <t>12/08 - A</t>
  </si>
  <si>
    <t>13/08 - A</t>
  </si>
  <si>
    <t>14/08 - A</t>
  </si>
  <si>
    <t>Data Embarque</t>
  </si>
  <si>
    <t>38.12.01095-3</t>
  </si>
  <si>
    <t>38.83.01103-5</t>
  </si>
  <si>
    <t>38.83.01540-6</t>
  </si>
  <si>
    <t>38.85.0977-9</t>
  </si>
  <si>
    <t>38.87.0868-11</t>
  </si>
  <si>
    <t>38.83.01765-5</t>
  </si>
  <si>
    <t>38.83.05066-3</t>
  </si>
  <si>
    <t>38.83.05325-10</t>
  </si>
  <si>
    <t>38.84.01381-11</t>
  </si>
  <si>
    <t>38.84.01423-5</t>
  </si>
  <si>
    <t>38.84.02331-7</t>
  </si>
  <si>
    <t>38.84.02485-4</t>
  </si>
  <si>
    <t>38.84.02574-11</t>
  </si>
  <si>
    <t>38.84.06625-10</t>
  </si>
  <si>
    <t>38.84.03562-9</t>
  </si>
  <si>
    <t>38.84.03563-6</t>
  </si>
  <si>
    <t>38.84.07604-3</t>
  </si>
  <si>
    <t>38.84.07728-4</t>
  </si>
  <si>
    <t>38.84.03566-6</t>
  </si>
  <si>
    <t>38.84.03747-11</t>
  </si>
  <si>
    <t>38.84.03766-12</t>
  </si>
  <si>
    <t>38.84.06898-9</t>
  </si>
  <si>
    <t>38.84.03796-9</t>
  </si>
  <si>
    <t>38.85.0983-11</t>
  </si>
  <si>
    <t>38.84.03889-4</t>
  </si>
  <si>
    <t>38.87.01448-12</t>
  </si>
  <si>
    <t>38.84.03926-12</t>
  </si>
  <si>
    <t>38.84.03997-12</t>
  </si>
  <si>
    <t>38.84.04103-7</t>
  </si>
  <si>
    <t>38.84.04117-6</t>
  </si>
  <si>
    <t>38.84.04160-3</t>
  </si>
  <si>
    <t>38.84.04181-8</t>
  </si>
  <si>
    <t>38.84.07619-9</t>
  </si>
  <si>
    <t>38.84.04198-5</t>
  </si>
  <si>
    <t>38.84.04240-8</t>
  </si>
  <si>
    <t>38.84.04331-9</t>
  </si>
  <si>
    <t>38.87.01526-3</t>
  </si>
  <si>
    <t>38.84.04443-6</t>
  </si>
  <si>
    <t>38.84.04722-10</t>
  </si>
  <si>
    <t>38.84.04754-11</t>
  </si>
  <si>
    <t>38.84.04869-7</t>
  </si>
  <si>
    <t>38.84.04871-11</t>
  </si>
  <si>
    <t>38.84.05728-12</t>
  </si>
  <si>
    <t>38.84.04933-12</t>
  </si>
  <si>
    <t>38.84.04959-11</t>
  </si>
  <si>
    <t>38.84.04989-8</t>
  </si>
  <si>
    <t>38.84.04990-5</t>
  </si>
  <si>
    <t>38.84.05119-11</t>
  </si>
  <si>
    <t>38.84.05144-4</t>
  </si>
  <si>
    <t>38.84.05324-12</t>
  </si>
  <si>
    <t>38.84.05581-12</t>
  </si>
  <si>
    <t>38.84.05635-8</t>
  </si>
  <si>
    <t>38.84.05704-4</t>
  </si>
  <si>
    <t>38.84.05715-10</t>
  </si>
  <si>
    <t>38.84.03845-11</t>
  </si>
  <si>
    <t>38.84.06062-6</t>
  </si>
  <si>
    <t>38.84.06237-9</t>
  </si>
  <si>
    <t>38.84.06388-4</t>
  </si>
  <si>
    <t>38.84.07488-9</t>
  </si>
  <si>
    <t>38.84.06348-8</t>
  </si>
  <si>
    <t>38.84.06357-10</t>
  </si>
  <si>
    <t>38.84.06475-9</t>
  </si>
  <si>
    <t>38.84.06572-11</t>
  </si>
  <si>
    <t>38.84.06626-6</t>
  </si>
  <si>
    <t>38.84.06634-12</t>
  </si>
  <si>
    <t>38.84.06685-4</t>
  </si>
  <si>
    <t>38.84.06726-9</t>
  </si>
  <si>
    <t>38.84.08410-8</t>
  </si>
  <si>
    <t>38.84.09355-10</t>
  </si>
  <si>
    <t>38.84.09357-3</t>
  </si>
  <si>
    <t>38.84.09351-12</t>
  </si>
  <si>
    <t>38.84.06871-3</t>
  </si>
  <si>
    <t>38.84.08945-9</t>
  </si>
  <si>
    <t>38.84.09053-7</t>
  </si>
  <si>
    <t>48.610.0569-8</t>
  </si>
  <si>
    <t>38.84.08669-5</t>
  </si>
  <si>
    <t>38.84.08943-5</t>
  </si>
  <si>
    <t>38.84.06906-4</t>
  </si>
  <si>
    <t>38.84.09006-9</t>
  </si>
  <si>
    <t>38.84.06929-6</t>
  </si>
  <si>
    <t>38.84.09354-3</t>
  </si>
  <si>
    <t>38.84.09358-10</t>
  </si>
  <si>
    <t>38.84.07024-5</t>
  </si>
  <si>
    <t>38.84.07026-8</t>
  </si>
  <si>
    <t>38.87.01654-10</t>
  </si>
  <si>
    <t>38.84.07110-8</t>
  </si>
  <si>
    <t>38.84.07128-5</t>
  </si>
  <si>
    <t>38.84.07130-9</t>
  </si>
  <si>
    <t>38.84.08097-9</t>
  </si>
  <si>
    <t>38.84.08425-6</t>
  </si>
  <si>
    <t>38.84.08426-12</t>
  </si>
  <si>
    <t>38.84.08984-8</t>
  </si>
  <si>
    <t>38.84.09309-9</t>
  </si>
  <si>
    <t>38.84.09337-5</t>
  </si>
  <si>
    <t>38.84.09338-12</t>
  </si>
  <si>
    <t>38.84.09367-12</t>
  </si>
  <si>
    <t>38.85.01020-9</t>
  </si>
  <si>
    <t>38.84.07131-6</t>
  </si>
  <si>
    <t>38.87.01652-6</t>
  </si>
  <si>
    <t>38.84.07142-12</t>
  </si>
  <si>
    <t>38.84.07145-3</t>
  </si>
  <si>
    <t>38.84.07147-6</t>
  </si>
  <si>
    <t>38.84.07148-3</t>
  </si>
  <si>
    <t>38.84.07149-10</t>
  </si>
  <si>
    <t>38.84.07164-4</t>
  </si>
  <si>
    <t>38.84.07808-6</t>
  </si>
  <si>
    <t>38.84.07170-5</t>
  </si>
  <si>
    <t>38.84.07221-10</t>
  </si>
  <si>
    <t>38.84.08735-4</t>
  </si>
  <si>
    <t>38.84.07228-8</t>
  </si>
  <si>
    <t>38.350.0489-4</t>
  </si>
  <si>
    <t>38.84.07325-11</t>
  </si>
  <si>
    <t>38.84.07405-3</t>
  </si>
  <si>
    <t>38.84.07406-9</t>
  </si>
  <si>
    <t>38.84.07495-8</t>
  </si>
  <si>
    <t>38.84.07503-3</t>
  </si>
  <si>
    <t>38.84.07504-10</t>
  </si>
  <si>
    <t>38.84.07538-7</t>
  </si>
  <si>
    <t>38.84.07560-9</t>
  </si>
  <si>
    <t>38.84.07594-4</t>
  </si>
  <si>
    <t>38.84.06410-6</t>
  </si>
  <si>
    <t>38.84.06513-11</t>
  </si>
  <si>
    <t>38.84.07674-9</t>
  </si>
  <si>
    <t>38.84.07689-12</t>
  </si>
  <si>
    <t>38.87.0863-7</t>
  </si>
  <si>
    <t>38.90.0434-4</t>
  </si>
  <si>
    <t>38.84.07744-5</t>
  </si>
  <si>
    <t>38.84.07751-3</t>
  </si>
  <si>
    <t>38.84.07769-7</t>
  </si>
  <si>
    <t>38.84.07777-12</t>
  </si>
  <si>
    <t>38.84.07778-9</t>
  </si>
  <si>
    <t>38.84.07779-6</t>
  </si>
  <si>
    <t>38.84.07781-10</t>
  </si>
  <si>
    <t>38.84.07786-4</t>
  </si>
  <si>
    <t>38.84.07806-12</t>
  </si>
  <si>
    <t>38.84.07915-8</t>
  </si>
  <si>
    <t>38.84.07931-11</t>
  </si>
  <si>
    <t>38.84.07932-8</t>
  </si>
  <si>
    <t>38.84.08015-11</t>
  </si>
  <si>
    <t>38.84.08016-10</t>
  </si>
  <si>
    <t>38.84.08017-7</t>
  </si>
  <si>
    <t>38.84.08018-4</t>
  </si>
  <si>
    <t>38.84.08030-7</t>
  </si>
  <si>
    <t>38.84.08038-12</t>
  </si>
  <si>
    <t>38.84.08141-6</t>
  </si>
  <si>
    <t>38.84.08161-4</t>
  </si>
  <si>
    <t>38.84.08175-11</t>
  </si>
  <si>
    <t>38.84.08176-7</t>
  </si>
  <si>
    <t>38.84.08198-9</t>
  </si>
  <si>
    <t>38.84.08235-8</t>
  </si>
  <si>
    <t>38.84.08238-8</t>
  </si>
  <si>
    <t>38.84.08239-5</t>
  </si>
  <si>
    <t>38.84.08308-11</t>
  </si>
  <si>
    <t>38.84.08364-11</t>
  </si>
  <si>
    <t>38.84.08388-6</t>
  </si>
  <si>
    <t>38.84.08409-11</t>
  </si>
  <si>
    <t>38.84.08411-5</t>
  </si>
  <si>
    <t>38.84.08427-9</t>
  </si>
  <si>
    <t>38.84.08489-7</t>
  </si>
  <si>
    <t>38.84.08490-4</t>
  </si>
  <si>
    <t>38.84.08520-4</t>
  </si>
  <si>
    <t>38.84.08616-9</t>
  </si>
  <si>
    <t>38.84.08644-3</t>
  </si>
  <si>
    <t>38.84.08664-11</t>
  </si>
  <si>
    <t>38.84.08668-8</t>
  </si>
  <si>
    <t>38.84.08934-3</t>
  </si>
  <si>
    <t>38.84.08978-6</t>
  </si>
  <si>
    <t>38.84.08986-11</t>
  </si>
  <si>
    <t>38.84.09026-10</t>
  </si>
  <si>
    <t>38.84.09159-11</t>
  </si>
  <si>
    <t>38.84.09164-6</t>
  </si>
  <si>
    <t>38.84.08694-8</t>
  </si>
  <si>
    <t>38.84.08698-5</t>
  </si>
  <si>
    <t>38.84.08700-9</t>
  </si>
  <si>
    <t>38.87.01660-11</t>
  </si>
  <si>
    <t>38.87.01661-8</t>
  </si>
  <si>
    <t>38.84.08702-3</t>
  </si>
  <si>
    <t>38.84.08703-10</t>
  </si>
  <si>
    <t>38.84.08705-4</t>
  </si>
  <si>
    <t>38.84.08719-3</t>
  </si>
  <si>
    <t>38.84.08727-8</t>
  </si>
  <si>
    <t>38.84.08730-9</t>
  </si>
  <si>
    <t>38.84.08733-10</t>
  </si>
  <si>
    <t>38.84.08772-9</t>
  </si>
  <si>
    <t>38.84.08746-9</t>
  </si>
  <si>
    <t>38.84.09394-9</t>
  </si>
  <si>
    <t>38.84.09399-3</t>
  </si>
  <si>
    <t>38.84.08747-6</t>
  </si>
  <si>
    <t>38.84.08751-4</t>
  </si>
  <si>
    <t>38.84.08771-12</t>
  </si>
  <si>
    <t>38.84.08773-6</t>
  </si>
  <si>
    <t>38.84.08805-7</t>
  </si>
  <si>
    <t>38.84.08816-5</t>
  </si>
  <si>
    <t>38.84.08817-12</t>
  </si>
  <si>
    <t>38.84.08821-10</t>
  </si>
  <si>
    <t>38.84.08825-8</t>
  </si>
  <si>
    <t>38.84.08881-4</t>
  </si>
  <si>
    <t>38.84.08882-11</t>
  </si>
  <si>
    <t>38.84.08891-3</t>
  </si>
  <si>
    <t>38.84.08909-7</t>
  </si>
  <si>
    <t>38.84.07011-12</t>
  </si>
  <si>
    <t>38.84.07133-10</t>
  </si>
  <si>
    <t>38.84.08912-8</t>
  </si>
  <si>
    <t>38.84.07835-6</t>
  </si>
  <si>
    <t>38.84.08935-10</t>
  </si>
  <si>
    <t>38.84.08939-7</t>
  </si>
  <si>
    <t>38.84.09008-3</t>
  </si>
  <si>
    <t>38.84.09012-11</t>
  </si>
  <si>
    <t>38.84.09048-12</t>
  </si>
  <si>
    <t>38.85.0652-8</t>
  </si>
  <si>
    <t>38.84.08975-6</t>
  </si>
  <si>
    <t>38.84.08980-10</t>
  </si>
  <si>
    <t>38.84.09011-4</t>
  </si>
  <si>
    <t>38.84.09031-5</t>
  </si>
  <si>
    <t>38.84.09032-12</t>
  </si>
  <si>
    <t>38.84.09281-6</t>
  </si>
  <si>
    <t>38.85.0949-6</t>
  </si>
  <si>
    <t>38.85.01000-8</t>
  </si>
  <si>
    <t>38.85.01013-8</t>
  </si>
  <si>
    <t>38.85.01018-5</t>
  </si>
  <si>
    <t>38.85.01019-12</t>
  </si>
  <si>
    <t>38.87.0711-12</t>
  </si>
  <si>
    <t>38.87.0781-8</t>
  </si>
  <si>
    <t>38.87.0800-9</t>
  </si>
  <si>
    <t>38.87.0801-6</t>
  </si>
  <si>
    <t>38.87.0907-10</t>
  </si>
  <si>
    <t>38.87.01051-10</t>
  </si>
  <si>
    <t>38.87.01250-9</t>
  </si>
  <si>
    <t>38.87.01266-9</t>
  </si>
  <si>
    <t>38.87.01455-11</t>
  </si>
  <si>
    <t>38.87.01496-3</t>
  </si>
  <si>
    <t>38.87.01503-12</t>
  </si>
  <si>
    <t>38.87.01504-9</t>
  </si>
  <si>
    <t>38.87.01505-6</t>
  </si>
  <si>
    <t>38.87.01651-9</t>
  </si>
  <si>
    <t>38.87.01653-3</t>
  </si>
  <si>
    <t>38.87.01668-6</t>
  </si>
  <si>
    <t>38.87.01679-12</t>
  </si>
  <si>
    <t>38.90.060416-11</t>
  </si>
  <si>
    <t>38.143.0422-3</t>
  </si>
  <si>
    <t>38.151.010444-7</t>
  </si>
  <si>
    <t>38.285.010551-8</t>
  </si>
  <si>
    <t>38.350.0570-6</t>
  </si>
  <si>
    <t>38.356.0479-6</t>
  </si>
  <si>
    <t>38.356.0480-3</t>
  </si>
  <si>
    <t>38.417.0418-4</t>
  </si>
  <si>
    <t>38.417.0419-11</t>
  </si>
  <si>
    <t>38.417.0420-8</t>
  </si>
  <si>
    <t>38.421.0440-11</t>
  </si>
  <si>
    <t>38.423.0421-7</t>
  </si>
  <si>
    <t>38.423.0422-4</t>
  </si>
  <si>
    <t>Rev</t>
  </si>
  <si>
    <t>0</t>
  </si>
  <si>
    <t>Saiu para Tratamento</t>
  </si>
  <si>
    <t>Prazo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</si>
</sst>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44" formatCode="_-&quot;R$&quot;\ * #,##0.00_-;\-&quot;R$&quot;\ * #,##0.00_-;_-&quot;R$&quot;\ * &quot;-&quot;??_-;_-@_-"/>
    <numFmt numFmtId="164" formatCode="0\W"/>
    <numFmt numFmtId="165" formatCode="dd/mm/yy"/>
    <numFmt numFmtId="166" formatCode="dd/mm"/>
    <numFmt numFmtId="167" formatCode="&quot;R$&quot;\ #,##0.00"/>
  </numFmts>
  <fonts count="4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0"/>
      <name val="Times New Roman"/>
      <family val="1"/>
    </font>
    <font>
      <b/>
      <sz val="10"/>
      <name val="Times New Roman"/>
      <family val="1"/>
    </font>
  </fonts>
  <fills count="6">
    <fill>
      <patternFill patternType="none"/>
    </fill>
    <fill>
      <patternFill patternType="gray125"/>
    </fill>
    <fill>
      <patternFill patternType="solid">
        <fgColor indexed="51"/>
        <bgColor indexed="64"/>
      </patternFill>
    </fill>
    <fill>
      <patternFill patternType="solid">
        <fgColor indexed="44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theme="9" tint="-0.249977111117893"/>
        <bgColor indexed="64"/>
      </patternFill>
    </fill>
  </fills>
  <borders count="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</borders>
  <cellStyleXfs count="3">
    <xf numFmtId="0" fontId="0" fillId="0" borderId="0"/>
    <xf numFmtId="0" fontId="1" fillId="0" borderId="0"/>
    <xf numFmtId="0" fontId="2" fillId="0" borderId="0"/>
  </cellStyleXfs>
  <cellXfs count="31">
    <xf numFmtId="0" fontId="0" fillId="0" borderId="0" xfId="0"/>
    <xf numFmtId="0" fontId="2" fillId="0" borderId="0" xfId="1" applyFont="1" applyAlignment="1">
      <alignment horizontal="center" vertical="center"/>
    </xf>
    <xf numFmtId="1" fontId="3" fillId="3" borderId="1" xfId="1" applyNumberFormat="1" applyFont="1" applyFill="1" applyBorder="1" applyAlignment="1">
      <alignment horizontal="center" vertical="center" wrapText="1"/>
    </xf>
    <xf numFmtId="166" fontId="3" fillId="2" borderId="1" xfId="2" quotePrefix="1" applyNumberFormat="1" applyFont="1" applyFill="1" applyBorder="1" applyAlignment="1">
      <alignment horizontal="center" vertical="center" wrapText="1"/>
    </xf>
    <xf numFmtId="1" fontId="3" fillId="4" borderId="1" xfId="1" applyNumberFormat="1" applyFont="1" applyFill="1" applyBorder="1" applyAlignment="1" applyProtection="1">
      <alignment horizontal="center" vertical="center" wrapText="1"/>
      <protection locked="0"/>
    </xf>
    <xf numFmtId="0" fontId="3" fillId="3" borderId="1" xfId="1" applyFont="1" applyFill="1" applyBorder="1" applyAlignment="1">
      <alignment horizontal="center" vertical="center" wrapText="1"/>
    </xf>
    <xf numFmtId="1" fontId="3" fillId="5" borderId="2" xfId="1" applyNumberFormat="1" applyFont="1" applyFill="1" applyBorder="1" applyAlignment="1">
      <alignment horizontal="center" vertical="center" wrapText="1"/>
    </xf>
    <xf numFmtId="167" fontId="3" fillId="4" borderId="1" xfId="1" applyNumberFormat="1" applyFont="1" applyFill="1" applyBorder="1" applyAlignment="1" applyProtection="1">
      <alignment horizontal="center" vertical="center" wrapText="1"/>
      <protection locked="0"/>
    </xf>
    <xf numFmtId="44" fontId="3" fillId="4" borderId="1" xfId="1" applyNumberFormat="1" applyFont="1" applyFill="1" applyBorder="1" applyAlignment="1" applyProtection="1">
      <alignment horizontal="center" vertical="center" wrapText="1"/>
      <protection locked="0"/>
    </xf>
    <xf numFmtId="0" fontId="2" fillId="0" borderId="0" xfId="1" applyFont="1" applyAlignment="1" applyProtection="1">
      <alignment horizontal="center" vertical="center"/>
      <protection locked="0"/>
    </xf>
    <xf numFmtId="167" fontId="2" fillId="0" borderId="0" xfId="1" applyNumberFormat="1" applyFont="1" applyAlignment="1" applyProtection="1">
      <alignment horizontal="center" vertical="center"/>
      <protection locked="0"/>
    </xf>
    <xf numFmtId="44" fontId="2" fillId="0" borderId="0" xfId="1" applyNumberFormat="1" applyFont="1" applyAlignment="1" applyProtection="1">
      <alignment horizontal="center" vertical="center"/>
      <protection locked="0"/>
    </xf>
    <xf numFmtId="0" fontId="0" fillId="0" borderId="0" xfId="0" applyAlignment="1">
      <alignment horizontal="center" vertical="center"/>
    </xf>
    <xf numFmtId="0" fontId="1" fillId="0" borderId="1" xfId="1" applyBorder="1" applyAlignment="1">
      <alignment horizontal="center" vertical="center"/>
    </xf>
    <xf numFmtId="167" fontId="1" fillId="0" borderId="1" xfId="1" applyNumberFormat="1" applyBorder="1" applyAlignment="1">
      <alignment horizontal="center" vertical="center"/>
    </xf>
    <xf numFmtId="44" fontId="1" fillId="0" borderId="1" xfId="1" applyNumberFormat="1" applyBorder="1" applyAlignment="1">
      <alignment horizontal="center" vertical="center"/>
    </xf>
    <xf numFmtId="165" fontId="1" fillId="0" borderId="1" xfId="1" applyNumberFormat="1" applyBorder="1" applyAlignment="1">
      <alignment horizontal="center" vertical="center"/>
    </xf>
    <xf numFmtId="164" fontId="1" fillId="0" borderId="1" xfId="1" applyNumberFormat="1" applyBorder="1" applyAlignment="1">
      <alignment horizontal="center" vertical="center"/>
    </xf>
    <xf numFmtId="167" fontId="0" fillId="0" borderId="0" xfId="0" applyNumberFormat="1" applyAlignment="1">
      <alignment horizontal="center" vertical="center"/>
    </xf>
    <xf numFmtId="44" fontId="0" fillId="0" borderId="0" xfId="0" applyNumberFormat="1" applyAlignment="1">
      <alignment horizontal="center" vertical="center"/>
    </xf>
    <xf numFmtId="0" fontId="2" fillId="0" borderId="0" xfId="1" applyFont="1" applyAlignment="1">
      <alignment horizontal="right" vertical="center"/>
    </xf>
    <xf numFmtId="0" fontId="0" fillId="0" borderId="0" xfId="0" applyAlignment="1">
      <alignment horizontal="right" vertical="center"/>
    </xf>
    <xf numFmtId="0" fontId="0" fillId="0" borderId="1" xfId="1" applyFont="1" applyBorder="1" applyAlignment="1">
      <alignment horizontal="center" vertical="center"/>
    </xf>
    <xf numFmtId="16" fontId="1" fillId="0" borderId="1" xfId="1" applyNumberFormat="1" applyBorder="1" applyAlignment="1">
      <alignment horizontal="center" vertical="center"/>
    </xf>
    <xf numFmtId="16" fontId="0" fillId="0" borderId="1" xfId="1" applyNumberFormat="1" applyFont="1" applyBorder="1" applyAlignment="1">
      <alignment horizontal="center" vertical="center"/>
    </xf>
    <xf numFmtId="1" fontId="1" fillId="0" borderId="1" xfId="1" applyNumberFormat="1" applyBorder="1" applyAlignment="1">
      <alignment horizontal="center" vertical="center"/>
    </xf>
    <xf numFmtId="0" fontId="1" fillId="0" borderId="1" xfId="1" applyFill="1" applyBorder="1" applyAlignment="1">
      <alignment horizontal="center" vertical="center"/>
    </xf>
    <xf numFmtId="0" fontId="0" fillId="0" borderId="1" xfId="0" applyBorder="1"/>
    <xf numFmtId="49" fontId="1" fillId="0" borderId="1" xfId="1" applyNumberFormat="1" applyBorder="1" applyAlignment="1">
      <alignment horizontal="left" vertical="center"/>
    </xf>
    <xf numFmtId="49" fontId="0" fillId="0" borderId="1" xfId="1" applyNumberFormat="1" applyFont="1" applyBorder="1" applyAlignment="1">
      <alignment horizontal="left" vertical="center"/>
    </xf>
    <xf numFmtId="0" fontId="1" fillId="0" borderId="1" xfId="1" applyBorder="1" applyAlignment="1">
      <alignment horizontal="right" vertical="center"/>
    </xf>
  </cellXfs>
  <cellStyles count="3">
    <cellStyle name="Normal" xfId="0" builtinId="0"/>
    <cellStyle name="Normal 4" xfId="1" xr:uid="{00000000-0005-0000-0000-000001000000}"/>
    <cellStyle name="Normal_PEDI" xfId="2" xr:uid="{00000000-0005-0000-0000-000002000000}"/>
  </cellStyles>
  <dxfs count="17">
    <dxf>
      <font>
        <condense val="0"/>
        <extend val="0"/>
        <color indexed="8"/>
      </font>
      <fill>
        <patternFill patternType="solid">
          <bgColor indexed="43"/>
        </patternFill>
      </fill>
    </dxf>
    <dxf>
      <fill>
        <patternFill>
          <bgColor rgb="FF00B0F0"/>
        </patternFill>
      </fill>
    </dxf>
    <dxf>
      <fill>
        <patternFill>
          <bgColor rgb="FFFFFF00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ill>
        <patternFill>
          <bgColor rgb="FFFFC000"/>
        </patternFill>
      </fill>
    </dxf>
    <dxf>
      <fill>
        <patternFill>
          <bgColor theme="9" tint="0.39994506668294322"/>
        </patternFill>
      </fill>
    </dxf>
    <dxf>
      <fill>
        <patternFill>
          <bgColor rgb="FF00B0F0"/>
        </patternFill>
      </fill>
    </dxf>
    <dxf>
      <font>
        <color theme="5" tint="-0.499984740745262"/>
      </font>
      <fill>
        <patternFill patternType="solid">
          <bgColor theme="0"/>
        </patternFill>
      </fill>
    </dxf>
    <dxf>
      <font>
        <color theme="3"/>
      </font>
    </dxf>
    <dxf>
      <fill>
        <patternFill>
          <bgColor indexed="45"/>
        </patternFill>
      </fill>
    </dxf>
    <dxf>
      <fill>
        <patternFill>
          <bgColor indexed="45"/>
        </patternFill>
      </fill>
    </dxf>
    <dxf>
      <font>
        <condense val="0"/>
        <extend val="0"/>
        <color indexed="8"/>
      </font>
      <fill>
        <patternFill patternType="solid">
          <bgColor indexed="43"/>
        </patternFill>
      </fill>
    </dxf>
    <dxf>
      <fill>
        <patternFill>
          <bgColor indexed="11"/>
        </patternFill>
      </fill>
    </dxf>
    <dxf>
      <fill>
        <patternFill>
          <bgColor indexed="13"/>
        </patternFill>
      </fill>
    </dxf>
    <dxf>
      <fill>
        <patternFill>
          <bgColor indexed="45"/>
        </patternFill>
      </fill>
    </dxf>
    <dxf>
      <fill>
        <patternFill>
          <bgColor indexed="45"/>
        </patternFill>
      </fill>
    </dxf>
    <dxf>
      <fill>
        <patternFill>
          <bgColor indexed="11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externalLink" Target="externalLinks/externalLink1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Master/python-for-excel/projeto%20ops/Novo%20projeto/PAM%2003.08%20ATUAL%20-%20KION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KION_IND_E_COM_LT"/>
      <sheetName val="KOJIMA_LASER_FABRICA"/>
    </sheetNames>
    <sheetDataSet>
      <sheetData sheetId="0">
        <row r="1">
          <cell r="A1" t="str">
            <v>OrdemP</v>
          </cell>
          <cell r="B1" t="str">
            <v>Código</v>
          </cell>
          <cell r="C1" t="str">
            <v>Descrição</v>
          </cell>
          <cell r="D1" t="str">
            <v xml:space="preserve"> </v>
          </cell>
          <cell r="E1" t="str">
            <v>Nome Fornec</v>
          </cell>
          <cell r="F1" t="str">
            <v>Es</v>
          </cell>
          <cell r="G1" t="str">
            <v>Vct Atual</v>
          </cell>
          <cell r="H1" t="str">
            <v>Ped</v>
          </cell>
          <cell r="I1" t="str">
            <v>Tip</v>
          </cell>
          <cell r="J1" t="str">
            <v>Atr</v>
          </cell>
          <cell r="K1" t="str">
            <v>Quant</v>
          </cell>
          <cell r="L1" t="str">
            <v>Saldo</v>
          </cell>
          <cell r="M1" t="str">
            <v>Nac Rec Mao</v>
          </cell>
          <cell r="N1" t="str">
            <v>Nac Coleta</v>
          </cell>
          <cell r="O1" t="str">
            <v>Nac Trans</v>
          </cell>
          <cell r="P1" t="str">
            <v>Saldo</v>
          </cell>
          <cell r="Q1" t="str">
            <v>Observações</v>
          </cell>
          <cell r="S1" t="str">
            <v>Dt Embarq AIR</v>
          </cell>
          <cell r="T1" t="str">
            <v>Sit Atu</v>
          </cell>
        </row>
        <row r="3">
          <cell r="A3">
            <v>181441002</v>
          </cell>
          <cell r="B3" t="str">
            <v>65.003.00679-0</v>
          </cell>
          <cell r="C3" t="str">
            <v>SUPORTE INFERIOR ESTEIRA AFD SPLIT INFERIOR         REV-03</v>
          </cell>
          <cell r="D3" t="str">
            <v/>
          </cell>
          <cell r="E3" t="str">
            <v>KION IND E COM LT</v>
          </cell>
          <cell r="F3">
            <v>401</v>
          </cell>
          <cell r="G3">
            <v>43250</v>
          </cell>
          <cell r="H3">
            <v>364112</v>
          </cell>
          <cell r="J3">
            <v>-796</v>
          </cell>
          <cell r="K3">
            <v>150</v>
          </cell>
          <cell r="L3">
            <v>150</v>
          </cell>
          <cell r="P3">
            <v>150</v>
          </cell>
          <cell r="Q3">
            <v>0</v>
          </cell>
          <cell r="S3" t="str">
            <v>DF</v>
          </cell>
          <cell r="T3" t="str">
            <v>DF</v>
          </cell>
        </row>
        <row r="4">
          <cell r="A4">
            <v>974324001</v>
          </cell>
          <cell r="B4" t="str">
            <v>65.110.00687-2</v>
          </cell>
          <cell r="C4" t="str">
            <v xml:space="preserve">MOLD INOX TEC FUNC ATM4500 ROHS                     REV-00  </v>
          </cell>
          <cell r="D4" t="str">
            <v/>
          </cell>
          <cell r="E4" t="str">
            <v>KION IND E COM LT</v>
          </cell>
          <cell r="F4">
            <v>401</v>
          </cell>
          <cell r="G4">
            <v>44039</v>
          </cell>
          <cell r="H4">
            <v>375976</v>
          </cell>
          <cell r="J4">
            <v>-7</v>
          </cell>
          <cell r="K4">
            <v>200</v>
          </cell>
          <cell r="L4">
            <v>200</v>
          </cell>
          <cell r="P4">
            <v>200</v>
          </cell>
          <cell r="Q4" t="str">
            <v>OP 31/03 -FM</v>
          </cell>
          <cell r="S4">
            <v>44081</v>
          </cell>
          <cell r="T4">
            <v>9</v>
          </cell>
        </row>
        <row r="5">
          <cell r="A5">
            <v>979119001</v>
          </cell>
          <cell r="B5" t="str">
            <v>65.110.00687-2</v>
          </cell>
          <cell r="C5" t="str">
            <v xml:space="preserve">MOLD INOX TEC FUNC ATM4500 ROHS                     REV-00  </v>
          </cell>
          <cell r="D5" t="str">
            <v/>
          </cell>
          <cell r="E5" t="str">
            <v>KION IND E COM LT</v>
          </cell>
          <cell r="F5">
            <v>401</v>
          </cell>
          <cell r="G5">
            <v>44088</v>
          </cell>
          <cell r="H5">
            <v>376920</v>
          </cell>
          <cell r="J5">
            <v>42</v>
          </cell>
          <cell r="K5">
            <v>170</v>
          </cell>
          <cell r="L5">
            <v>170</v>
          </cell>
          <cell r="P5">
            <v>170</v>
          </cell>
          <cell r="Q5" t="str">
            <v/>
          </cell>
          <cell r="S5" t="str">
            <v>DF</v>
          </cell>
          <cell r="T5" t="str">
            <v>DF</v>
          </cell>
        </row>
        <row r="6">
          <cell r="A6">
            <v>202613112</v>
          </cell>
          <cell r="B6" t="str">
            <v>65.116.01032-9</v>
          </cell>
          <cell r="C6" t="str">
            <v xml:space="preserve">SUP SENS ARRANC DIP BB C/ ASKM ROHS                 REV-00  </v>
          </cell>
          <cell r="D6" t="str">
            <v/>
          </cell>
          <cell r="E6" t="str">
            <v>KION IND E COM LT</v>
          </cell>
          <cell r="F6">
            <v>401</v>
          </cell>
          <cell r="G6">
            <v>43997</v>
          </cell>
          <cell r="H6">
            <v>668725</v>
          </cell>
          <cell r="I6" t="str">
            <v>K</v>
          </cell>
          <cell r="J6">
            <v>0</v>
          </cell>
          <cell r="K6">
            <v>100</v>
          </cell>
          <cell r="L6">
            <v>100</v>
          </cell>
          <cell r="N6">
            <v>100</v>
          </cell>
          <cell r="P6">
            <v>0</v>
          </cell>
          <cell r="Q6" t="str">
            <v>Trat. 01/07 - REALPOX</v>
          </cell>
          <cell r="S6" t="str">
            <v>Imediato</v>
          </cell>
          <cell r="T6">
            <v>3</v>
          </cell>
        </row>
        <row r="7">
          <cell r="A7">
            <v>982088951</v>
          </cell>
          <cell r="B7" t="str">
            <v>65.110.00687-2</v>
          </cell>
          <cell r="C7" t="str">
            <v xml:space="preserve">MOLD INOX TEC FUNC ATM4500 ROHS                     REV-00  </v>
          </cell>
          <cell r="D7" t="str">
            <v/>
          </cell>
          <cell r="E7" t="str">
            <v>KION IND E COM LT</v>
          </cell>
          <cell r="F7">
            <v>401</v>
          </cell>
          <cell r="G7">
            <v>44088</v>
          </cell>
          <cell r="H7">
            <v>377860</v>
          </cell>
          <cell r="J7">
            <v>42</v>
          </cell>
          <cell r="K7">
            <v>200</v>
          </cell>
          <cell r="L7">
            <v>200</v>
          </cell>
          <cell r="P7">
            <v>200</v>
          </cell>
          <cell r="Q7" t="str">
            <v/>
          </cell>
          <cell r="S7" t="str">
            <v>DF</v>
          </cell>
          <cell r="T7" t="str">
            <v>DF</v>
          </cell>
        </row>
        <row r="8">
          <cell r="A8">
            <v>982088952</v>
          </cell>
          <cell r="B8" t="str">
            <v>65.110.00687-2</v>
          </cell>
          <cell r="C8" t="str">
            <v xml:space="preserve">MOLD INOX TEC FUNC ATM4500 ROHS                     REV-00  </v>
          </cell>
          <cell r="D8" t="str">
            <v/>
          </cell>
          <cell r="E8" t="str">
            <v>KION IND E COM LT</v>
          </cell>
          <cell r="F8">
            <v>401</v>
          </cell>
          <cell r="G8">
            <v>44116</v>
          </cell>
          <cell r="H8">
            <v>377860</v>
          </cell>
          <cell r="J8">
            <v>70</v>
          </cell>
          <cell r="K8">
            <v>200</v>
          </cell>
          <cell r="L8">
            <v>200</v>
          </cell>
          <cell r="P8">
            <v>200</v>
          </cell>
          <cell r="Q8" t="str">
            <v/>
          </cell>
          <cell r="S8" t="str">
            <v>DF</v>
          </cell>
          <cell r="T8" t="str">
            <v>DF</v>
          </cell>
        </row>
        <row r="9">
          <cell r="A9">
            <v>202561216</v>
          </cell>
          <cell r="B9" t="str">
            <v>65.110.01124-3</v>
          </cell>
          <cell r="C9" t="str">
            <v xml:space="preserve">MOLDURA INOX TEC SETAS PASSO 27MM ROHS              REV-00  </v>
          </cell>
          <cell r="D9" t="str">
            <v/>
          </cell>
          <cell r="E9" t="str">
            <v>KION IND E COM LT</v>
          </cell>
          <cell r="F9">
            <v>401</v>
          </cell>
          <cell r="G9">
            <v>44025</v>
          </cell>
          <cell r="H9">
            <v>668725</v>
          </cell>
          <cell r="I9" t="str">
            <v>K</v>
          </cell>
          <cell r="J9">
            <v>-21</v>
          </cell>
          <cell r="K9">
            <v>100</v>
          </cell>
          <cell r="L9">
            <v>100</v>
          </cell>
          <cell r="P9">
            <v>100</v>
          </cell>
          <cell r="Q9" t="str">
            <v>EST OK - VK (29/07)</v>
          </cell>
          <cell r="R9" t="str">
            <v>10/08 - A</v>
          </cell>
          <cell r="S9">
            <v>44067</v>
          </cell>
          <cell r="T9">
            <v>7</v>
          </cell>
        </row>
        <row r="10">
          <cell r="A10">
            <v>202564121</v>
          </cell>
          <cell r="B10" t="str">
            <v>65.111.03429-8</v>
          </cell>
          <cell r="C10" t="str">
            <v>SUPT ROHS DISJ PAIN AC OPTEVA BR BDN                REV-01</v>
          </cell>
          <cell r="D10" t="str">
            <v/>
          </cell>
          <cell r="E10" t="str">
            <v>KION IND E COM LT</v>
          </cell>
          <cell r="F10">
            <v>401</v>
          </cell>
          <cell r="G10">
            <v>43983</v>
          </cell>
          <cell r="H10">
            <v>668725</v>
          </cell>
          <cell r="I10" t="str">
            <v>K</v>
          </cell>
          <cell r="J10">
            <v>0</v>
          </cell>
          <cell r="K10">
            <v>100</v>
          </cell>
          <cell r="L10">
            <v>100</v>
          </cell>
          <cell r="O10">
            <v>100</v>
          </cell>
          <cell r="P10">
            <v>0</v>
          </cell>
          <cell r="Q10" t="str">
            <v>Trat. 15/07 - 310p - DIADEMA</v>
          </cell>
          <cell r="T10">
            <v>4</v>
          </cell>
        </row>
        <row r="11">
          <cell r="A11">
            <v>202561217</v>
          </cell>
          <cell r="B11" t="str">
            <v>65.110.01124-3</v>
          </cell>
          <cell r="C11" t="str">
            <v xml:space="preserve">MOLDURA INOX TEC SETAS PASSO 27MM ROHS              REV-00  </v>
          </cell>
          <cell r="D11" t="str">
            <v/>
          </cell>
          <cell r="E11" t="str">
            <v>KION IND E COM LT</v>
          </cell>
          <cell r="F11">
            <v>401</v>
          </cell>
          <cell r="G11">
            <v>44025</v>
          </cell>
          <cell r="H11">
            <v>668725</v>
          </cell>
          <cell r="I11" t="str">
            <v>K</v>
          </cell>
          <cell r="J11">
            <v>-21</v>
          </cell>
          <cell r="K11">
            <v>100</v>
          </cell>
          <cell r="L11">
            <v>100</v>
          </cell>
          <cell r="P11">
            <v>100</v>
          </cell>
          <cell r="Q11" t="str">
            <v>Laser 17/07  FM</v>
          </cell>
          <cell r="S11">
            <v>44067</v>
          </cell>
          <cell r="T11">
            <v>7</v>
          </cell>
        </row>
        <row r="12">
          <cell r="A12">
            <v>202561218</v>
          </cell>
          <cell r="B12" t="str">
            <v>65.110.01124-3</v>
          </cell>
          <cell r="C12" t="str">
            <v xml:space="preserve">MOLDURA INOX TEC SETAS PASSO 27MM ROHS              REV-00  </v>
          </cell>
          <cell r="D12" t="str">
            <v/>
          </cell>
          <cell r="E12" t="str">
            <v>KION IND E COM LT</v>
          </cell>
          <cell r="F12">
            <v>401</v>
          </cell>
          <cell r="G12">
            <v>44025</v>
          </cell>
          <cell r="H12">
            <v>668725</v>
          </cell>
          <cell r="I12" t="str">
            <v>K</v>
          </cell>
          <cell r="J12">
            <v>-21</v>
          </cell>
          <cell r="K12">
            <v>100</v>
          </cell>
          <cell r="L12">
            <v>100</v>
          </cell>
          <cell r="P12">
            <v>100</v>
          </cell>
          <cell r="Q12" t="str">
            <v>Laser 17/07  FM</v>
          </cell>
          <cell r="S12">
            <v>44074</v>
          </cell>
          <cell r="T12">
            <v>8</v>
          </cell>
        </row>
        <row r="13">
          <cell r="A13">
            <v>202561219</v>
          </cell>
          <cell r="B13" t="str">
            <v>65.110.01124-3</v>
          </cell>
          <cell r="C13" t="str">
            <v xml:space="preserve">MOLDURA INOX TEC SETAS PASSO 27MM ROHS              REV-00  </v>
          </cell>
          <cell r="D13" t="str">
            <v/>
          </cell>
          <cell r="E13" t="str">
            <v>KION IND E COM LT</v>
          </cell>
          <cell r="F13">
            <v>401</v>
          </cell>
          <cell r="G13">
            <v>44025</v>
          </cell>
          <cell r="H13">
            <v>668725</v>
          </cell>
          <cell r="I13" t="str">
            <v>K</v>
          </cell>
          <cell r="J13">
            <v>-21</v>
          </cell>
          <cell r="K13">
            <v>100</v>
          </cell>
          <cell r="L13">
            <v>100</v>
          </cell>
          <cell r="P13">
            <v>100</v>
          </cell>
          <cell r="Q13" t="str">
            <v>Laser 17/07  FM</v>
          </cell>
          <cell r="S13">
            <v>44074</v>
          </cell>
          <cell r="T13">
            <v>8</v>
          </cell>
        </row>
        <row r="14">
          <cell r="A14">
            <v>202561220</v>
          </cell>
          <cell r="B14" t="str">
            <v>65.110.01124-3</v>
          </cell>
          <cell r="C14" t="str">
            <v xml:space="preserve">MOLDURA INOX TEC SETAS PASSO 27MM ROHS              REV-00  </v>
          </cell>
          <cell r="D14" t="str">
            <v/>
          </cell>
          <cell r="E14" t="str">
            <v>KION IND E COM LT</v>
          </cell>
          <cell r="F14">
            <v>401</v>
          </cell>
          <cell r="G14">
            <v>44025</v>
          </cell>
          <cell r="H14">
            <v>668725</v>
          </cell>
          <cell r="I14" t="str">
            <v>K</v>
          </cell>
          <cell r="J14">
            <v>-21</v>
          </cell>
          <cell r="K14">
            <v>100</v>
          </cell>
          <cell r="L14">
            <v>100</v>
          </cell>
          <cell r="P14">
            <v>100</v>
          </cell>
          <cell r="Q14" t="str">
            <v>Laser 17/07  FM</v>
          </cell>
          <cell r="S14">
            <v>44081</v>
          </cell>
          <cell r="T14">
            <v>9</v>
          </cell>
        </row>
        <row r="15">
          <cell r="A15">
            <v>202561221</v>
          </cell>
          <cell r="B15" t="str">
            <v>65.110.01124-3</v>
          </cell>
          <cell r="C15" t="str">
            <v xml:space="preserve">MOLDURA INOX TEC SETAS PASSO 27MM ROHS              REV-00  </v>
          </cell>
          <cell r="D15" t="str">
            <v/>
          </cell>
          <cell r="E15" t="str">
            <v>KION IND E COM LT</v>
          </cell>
          <cell r="F15">
            <v>401</v>
          </cell>
          <cell r="G15">
            <v>44025</v>
          </cell>
          <cell r="H15">
            <v>668725</v>
          </cell>
          <cell r="I15" t="str">
            <v>K</v>
          </cell>
          <cell r="J15">
            <v>-21</v>
          </cell>
          <cell r="K15">
            <v>100</v>
          </cell>
          <cell r="L15">
            <v>100</v>
          </cell>
          <cell r="P15">
            <v>100</v>
          </cell>
          <cell r="Q15" t="str">
            <v>Laser 17/07  FM</v>
          </cell>
          <cell r="S15">
            <v>44081</v>
          </cell>
          <cell r="T15">
            <v>9</v>
          </cell>
        </row>
        <row r="16">
          <cell r="A16">
            <v>202561222</v>
          </cell>
          <cell r="B16" t="str">
            <v>65.110.01124-3</v>
          </cell>
          <cell r="C16" t="str">
            <v xml:space="preserve">MOLDURA INOX TEC SETAS PASSO 27MM ROHS              REV-00  </v>
          </cell>
          <cell r="D16" t="str">
            <v/>
          </cell>
          <cell r="E16" t="str">
            <v>KION IND E COM LT</v>
          </cell>
          <cell r="F16">
            <v>401</v>
          </cell>
          <cell r="G16">
            <v>44025</v>
          </cell>
          <cell r="H16">
            <v>668725</v>
          </cell>
          <cell r="I16" t="str">
            <v>K</v>
          </cell>
          <cell r="J16">
            <v>-21</v>
          </cell>
          <cell r="K16">
            <v>100</v>
          </cell>
          <cell r="L16">
            <v>100</v>
          </cell>
          <cell r="P16">
            <v>100</v>
          </cell>
          <cell r="Q16" t="str">
            <v/>
          </cell>
          <cell r="S16">
            <v>44081</v>
          </cell>
          <cell r="T16">
            <v>9</v>
          </cell>
        </row>
        <row r="17">
          <cell r="A17">
            <v>202561215</v>
          </cell>
          <cell r="B17" t="str">
            <v>65.110.01124-3</v>
          </cell>
          <cell r="C17" t="str">
            <v xml:space="preserve">MOLDURA INOX TEC SETAS PASSO 27MM ROHS              REV-00  </v>
          </cell>
          <cell r="D17" t="str">
            <v/>
          </cell>
          <cell r="E17" t="str">
            <v>KION IND E COM LT</v>
          </cell>
          <cell r="F17">
            <v>401</v>
          </cell>
          <cell r="G17">
            <v>44025</v>
          </cell>
          <cell r="H17">
            <v>668725</v>
          </cell>
          <cell r="I17" t="str">
            <v>K</v>
          </cell>
          <cell r="J17">
            <v>-21</v>
          </cell>
          <cell r="K17">
            <v>100</v>
          </cell>
          <cell r="L17">
            <v>100</v>
          </cell>
          <cell r="P17">
            <v>100</v>
          </cell>
          <cell r="Q17" t="str">
            <v>solicitando coleta em 04/08</v>
          </cell>
          <cell r="S17">
            <v>44053</v>
          </cell>
          <cell r="T17">
            <v>5</v>
          </cell>
        </row>
        <row r="18">
          <cell r="A18">
            <v>201424197</v>
          </cell>
          <cell r="B18" t="str">
            <v>65.110.01349-2</v>
          </cell>
          <cell r="C18" t="str">
            <v xml:space="preserve">ESP CONJUGADO ITATIAIA ROHS                         REV-00  </v>
          </cell>
          <cell r="D18" t="str">
            <v/>
          </cell>
          <cell r="E18" t="str">
            <v>KION IND E COM LT</v>
          </cell>
          <cell r="F18">
            <v>401</v>
          </cell>
          <cell r="G18">
            <v>43955</v>
          </cell>
          <cell r="H18">
            <v>668725</v>
          </cell>
          <cell r="I18" t="str">
            <v>K</v>
          </cell>
          <cell r="J18">
            <v>-91</v>
          </cell>
          <cell r="K18">
            <v>60</v>
          </cell>
          <cell r="L18">
            <v>60</v>
          </cell>
          <cell r="P18">
            <v>60</v>
          </cell>
          <cell r="Q18" t="str">
            <v>Trat. 28/07 - 375p - DIADEMA</v>
          </cell>
          <cell r="S18">
            <v>44081</v>
          </cell>
          <cell r="T18">
            <v>9</v>
          </cell>
        </row>
        <row r="19">
          <cell r="A19">
            <v>201424200</v>
          </cell>
          <cell r="B19" t="str">
            <v>65.110.01349-2</v>
          </cell>
          <cell r="C19" t="str">
            <v xml:space="preserve">ESP CONJUGADO ITATIAIA ROHS                         REV-00  </v>
          </cell>
          <cell r="D19" t="str">
            <v/>
          </cell>
          <cell r="E19" t="str">
            <v>KION IND E COM LT</v>
          </cell>
          <cell r="F19">
            <v>401</v>
          </cell>
          <cell r="G19">
            <v>43997</v>
          </cell>
          <cell r="H19">
            <v>668725</v>
          </cell>
          <cell r="I19" t="str">
            <v>K</v>
          </cell>
          <cell r="J19">
            <v>-49</v>
          </cell>
          <cell r="K19">
            <v>100</v>
          </cell>
          <cell r="L19">
            <v>100</v>
          </cell>
          <cell r="P19">
            <v>100</v>
          </cell>
          <cell r="Q19" t="str">
            <v>Trat. 28/07 - DIADEMA</v>
          </cell>
          <cell r="S19">
            <v>44081</v>
          </cell>
          <cell r="T19">
            <v>9</v>
          </cell>
        </row>
        <row r="20">
          <cell r="A20">
            <v>201424201</v>
          </cell>
          <cell r="B20" t="str">
            <v>65.110.01349-2</v>
          </cell>
          <cell r="C20" t="str">
            <v xml:space="preserve">ESP CONJUGADO ITATIAIA ROHS                         REV-00  </v>
          </cell>
          <cell r="D20" t="str">
            <v/>
          </cell>
          <cell r="E20" t="str">
            <v>KION IND E COM LT</v>
          </cell>
          <cell r="F20">
            <v>401</v>
          </cell>
          <cell r="G20">
            <v>43997</v>
          </cell>
          <cell r="H20">
            <v>668725</v>
          </cell>
          <cell r="I20" t="str">
            <v>K</v>
          </cell>
          <cell r="J20">
            <v>-49</v>
          </cell>
          <cell r="K20">
            <v>100</v>
          </cell>
          <cell r="L20">
            <v>100</v>
          </cell>
          <cell r="P20">
            <v>100</v>
          </cell>
          <cell r="Q20" t="str">
            <v>Trat. 28/07 - DIADEMA</v>
          </cell>
          <cell r="S20">
            <v>44081</v>
          </cell>
          <cell r="T20">
            <v>9</v>
          </cell>
        </row>
        <row r="21">
          <cell r="A21">
            <v>974223003</v>
          </cell>
          <cell r="B21" t="str">
            <v>65.111.07681-6</v>
          </cell>
          <cell r="C21" t="str">
            <v xml:space="preserve">SUP FIX I/O SHIELD ECS B85H3-M5 TLF 2016 ROHS       REV-00  </v>
          </cell>
          <cell r="D21" t="str">
            <v/>
          </cell>
          <cell r="E21" t="str">
            <v>KION IND E COM LT</v>
          </cell>
          <cell r="F21">
            <v>401</v>
          </cell>
          <cell r="G21">
            <v>43948</v>
          </cell>
          <cell r="H21">
            <v>375976</v>
          </cell>
          <cell r="J21">
            <v>0</v>
          </cell>
          <cell r="K21">
            <v>2000</v>
          </cell>
          <cell r="L21">
            <v>40</v>
          </cell>
          <cell r="N21">
            <v>40</v>
          </cell>
          <cell r="P21">
            <v>0</v>
          </cell>
          <cell r="Q21" t="str">
            <v>OP 27/05 - FM</v>
          </cell>
          <cell r="T21">
            <v>4</v>
          </cell>
        </row>
        <row r="22">
          <cell r="A22">
            <v>974223004</v>
          </cell>
          <cell r="B22" t="str">
            <v>65.111.07681-6</v>
          </cell>
          <cell r="C22" t="str">
            <v xml:space="preserve">SUP FIX I/O SHIELD ECS B85H3-M5 TLF 2016 ROHS       REV-00  </v>
          </cell>
          <cell r="D22" t="str">
            <v/>
          </cell>
          <cell r="E22" t="str">
            <v>KION IND E COM LT</v>
          </cell>
          <cell r="F22">
            <v>401</v>
          </cell>
          <cell r="G22">
            <v>43969</v>
          </cell>
          <cell r="H22">
            <v>375976</v>
          </cell>
          <cell r="J22">
            <v>0</v>
          </cell>
          <cell r="K22">
            <v>1950</v>
          </cell>
          <cell r="L22">
            <v>1950</v>
          </cell>
          <cell r="N22">
            <v>1950</v>
          </cell>
          <cell r="P22">
            <v>0</v>
          </cell>
          <cell r="Q22" t="str">
            <v>Trat. 01/07 - 1981p - DIADEMA</v>
          </cell>
          <cell r="T22">
            <v>4</v>
          </cell>
        </row>
        <row r="23">
          <cell r="A23">
            <v>201424202</v>
          </cell>
          <cell r="B23" t="str">
            <v>65.110.01349-2</v>
          </cell>
          <cell r="C23" t="str">
            <v xml:space="preserve">ESP CONJUGADO ITATIAIA ROHS                         REV-00  </v>
          </cell>
          <cell r="D23" t="str">
            <v/>
          </cell>
          <cell r="E23" t="str">
            <v>KION IND E COM LT</v>
          </cell>
          <cell r="F23">
            <v>401</v>
          </cell>
          <cell r="G23">
            <v>43997</v>
          </cell>
          <cell r="H23">
            <v>668725</v>
          </cell>
          <cell r="I23" t="str">
            <v>K</v>
          </cell>
          <cell r="J23">
            <v>-49</v>
          </cell>
          <cell r="K23">
            <v>100</v>
          </cell>
          <cell r="L23">
            <v>100</v>
          </cell>
          <cell r="P23">
            <v>100</v>
          </cell>
          <cell r="Q23" t="str">
            <v>Trat. 28/07 - DIADEMA</v>
          </cell>
          <cell r="S23" t="str">
            <v>DF</v>
          </cell>
          <cell r="T23" t="str">
            <v>DF</v>
          </cell>
        </row>
        <row r="24">
          <cell r="A24">
            <v>201424203</v>
          </cell>
          <cell r="B24" t="str">
            <v>65.110.01349-2</v>
          </cell>
          <cell r="C24" t="str">
            <v xml:space="preserve">ESP CONJUGADO ITATIAIA ROHS                         REV-00  </v>
          </cell>
          <cell r="D24" t="str">
            <v/>
          </cell>
          <cell r="E24" t="str">
            <v>KION IND E COM LT</v>
          </cell>
          <cell r="F24">
            <v>401</v>
          </cell>
          <cell r="G24">
            <v>44025</v>
          </cell>
          <cell r="H24">
            <v>668725</v>
          </cell>
          <cell r="I24" t="str">
            <v>K</v>
          </cell>
          <cell r="J24">
            <v>-21</v>
          </cell>
          <cell r="K24">
            <v>100</v>
          </cell>
          <cell r="L24">
            <v>100</v>
          </cell>
          <cell r="P24">
            <v>100</v>
          </cell>
          <cell r="Q24" t="str">
            <v>ESTAMP. 30/07 - FM</v>
          </cell>
          <cell r="S24" t="str">
            <v>DF</v>
          </cell>
          <cell r="T24" t="str">
            <v>DF</v>
          </cell>
        </row>
        <row r="25">
          <cell r="A25">
            <v>947582001</v>
          </cell>
          <cell r="B25" t="str">
            <v>65.111.07994-5</v>
          </cell>
          <cell r="C25" t="str">
            <v xml:space="preserve">SUPT MD RESERVATORIO ENTINT DCASH ROHS              REV-00  </v>
          </cell>
          <cell r="D25" t="str">
            <v/>
          </cell>
          <cell r="E25" t="str">
            <v>KION IND E COM LT</v>
          </cell>
          <cell r="F25">
            <v>401</v>
          </cell>
          <cell r="G25">
            <v>43507</v>
          </cell>
          <cell r="H25">
            <v>370993</v>
          </cell>
          <cell r="J25">
            <v>0</v>
          </cell>
          <cell r="K25">
            <v>20</v>
          </cell>
          <cell r="L25">
            <v>2</v>
          </cell>
          <cell r="N25">
            <v>2</v>
          </cell>
          <cell r="P25">
            <v>0</v>
          </cell>
          <cell r="Q25" t="str">
            <v>EST OK</v>
          </cell>
          <cell r="T25">
            <v>4</v>
          </cell>
        </row>
        <row r="26">
          <cell r="A26">
            <v>201424204</v>
          </cell>
          <cell r="B26" t="str">
            <v>65.110.01349-2</v>
          </cell>
          <cell r="C26" t="str">
            <v xml:space="preserve">ESP CONJUGADO ITATIAIA ROHS                         REV-00  </v>
          </cell>
          <cell r="D26" t="str">
            <v/>
          </cell>
          <cell r="E26" t="str">
            <v>KION IND E COM LT</v>
          </cell>
          <cell r="F26">
            <v>401</v>
          </cell>
          <cell r="G26">
            <v>44025</v>
          </cell>
          <cell r="H26">
            <v>668725</v>
          </cell>
          <cell r="I26" t="str">
            <v>K</v>
          </cell>
          <cell r="J26">
            <v>-21</v>
          </cell>
          <cell r="K26">
            <v>100</v>
          </cell>
          <cell r="L26">
            <v>100</v>
          </cell>
          <cell r="P26">
            <v>100</v>
          </cell>
          <cell r="Q26" t="str">
            <v>ESTAMP. 30/07 - FM</v>
          </cell>
          <cell r="S26" t="str">
            <v>DF</v>
          </cell>
          <cell r="T26" t="str">
            <v>DF</v>
          </cell>
        </row>
        <row r="27">
          <cell r="A27">
            <v>201424205</v>
          </cell>
          <cell r="B27" t="str">
            <v>65.110.01349-2</v>
          </cell>
          <cell r="C27" t="str">
            <v xml:space="preserve">ESP CONJUGADO ITATIAIA ROHS                         REV-00  </v>
          </cell>
          <cell r="D27" t="str">
            <v/>
          </cell>
          <cell r="E27" t="str">
            <v>KION IND E COM LT</v>
          </cell>
          <cell r="F27">
            <v>401</v>
          </cell>
          <cell r="G27">
            <v>44025</v>
          </cell>
          <cell r="H27">
            <v>668725</v>
          </cell>
          <cell r="I27" t="str">
            <v>K</v>
          </cell>
          <cell r="J27">
            <v>-21</v>
          </cell>
          <cell r="K27">
            <v>100</v>
          </cell>
          <cell r="L27">
            <v>100</v>
          </cell>
          <cell r="P27">
            <v>100</v>
          </cell>
          <cell r="Q27" t="str">
            <v>ESTAMP. 30/07 - FM</v>
          </cell>
          <cell r="S27" t="str">
            <v>DF</v>
          </cell>
          <cell r="T27" t="str">
            <v>DF</v>
          </cell>
        </row>
        <row r="28">
          <cell r="A28">
            <v>999931061</v>
          </cell>
          <cell r="B28" t="str">
            <v>65.111.08286-0</v>
          </cell>
          <cell r="C28" t="str">
            <v xml:space="preserve">CONJ TRAVA PORTA TRAS GABINETE RM4                  REV-00  </v>
          </cell>
          <cell r="D28" t="str">
            <v>65.110.01583-0</v>
          </cell>
          <cell r="E28" t="str">
            <v>KION IND E COM LT</v>
          </cell>
          <cell r="F28">
            <v>401</v>
          </cell>
          <cell r="G28">
            <v>43997</v>
          </cell>
          <cell r="H28">
            <v>668725</v>
          </cell>
          <cell r="I28" t="str">
            <v>K</v>
          </cell>
          <cell r="J28">
            <v>0</v>
          </cell>
          <cell r="K28">
            <v>100</v>
          </cell>
          <cell r="L28">
            <v>100</v>
          </cell>
          <cell r="O28">
            <v>100</v>
          </cell>
          <cell r="P28">
            <v>0</v>
          </cell>
          <cell r="Q28" t="str">
            <v>Trat. 08/07 - GDL</v>
          </cell>
          <cell r="T28">
            <v>4</v>
          </cell>
        </row>
        <row r="29">
          <cell r="A29">
            <v>999931062</v>
          </cell>
          <cell r="B29" t="str">
            <v>65.111.08286-0</v>
          </cell>
          <cell r="C29" t="str">
            <v xml:space="preserve">CONJ TRAVA PORTA TRAS GABINETE RM4                  REV-00  </v>
          </cell>
          <cell r="D29" t="str">
            <v>65.110.01583-0</v>
          </cell>
          <cell r="E29" t="str">
            <v>KION IND E COM LT</v>
          </cell>
          <cell r="F29">
            <v>401</v>
          </cell>
          <cell r="G29">
            <v>44011</v>
          </cell>
          <cell r="H29">
            <v>668725</v>
          </cell>
          <cell r="I29" t="str">
            <v>K</v>
          </cell>
          <cell r="J29">
            <v>0</v>
          </cell>
          <cell r="K29">
            <v>100</v>
          </cell>
          <cell r="L29">
            <v>100</v>
          </cell>
          <cell r="O29">
            <v>100</v>
          </cell>
          <cell r="P29">
            <v>0</v>
          </cell>
          <cell r="Q29" t="str">
            <v>EST OK (VK - 20/07)</v>
          </cell>
          <cell r="T29">
            <v>4</v>
          </cell>
        </row>
        <row r="30">
          <cell r="A30">
            <v>202562579</v>
          </cell>
          <cell r="B30" t="str">
            <v>65.110.04650-0</v>
          </cell>
          <cell r="C30" t="str">
            <v>LAMINA INOX ATERR LCD 15" DIEBOLD ROHS              REV-00</v>
          </cell>
          <cell r="D30" t="str">
            <v/>
          </cell>
          <cell r="E30" t="str">
            <v>KION IND E COM LT</v>
          </cell>
          <cell r="F30">
            <v>401</v>
          </cell>
          <cell r="G30">
            <v>44011</v>
          </cell>
          <cell r="H30">
            <v>668725</v>
          </cell>
          <cell r="I30" t="str">
            <v>K</v>
          </cell>
          <cell r="J30">
            <v>-35</v>
          </cell>
          <cell r="K30">
            <v>100</v>
          </cell>
          <cell r="L30">
            <v>100</v>
          </cell>
          <cell r="P30">
            <v>100</v>
          </cell>
          <cell r="Q30" t="str">
            <v>EST 80 peças</v>
          </cell>
          <cell r="S30">
            <v>44067</v>
          </cell>
          <cell r="T30">
            <v>7</v>
          </cell>
        </row>
        <row r="31">
          <cell r="A31">
            <v>982006481</v>
          </cell>
          <cell r="B31" t="str">
            <v>65.111.08319-1</v>
          </cell>
          <cell r="C31" t="str">
            <v xml:space="preserve">SUPORTE CAIXA PLASTICA MESH BB2017 RM4H             REV-00  </v>
          </cell>
          <cell r="D31" t="str">
            <v/>
          </cell>
          <cell r="E31" t="str">
            <v>KION IND E COM LT</v>
          </cell>
          <cell r="F31">
            <v>401</v>
          </cell>
          <cell r="G31">
            <v>44046</v>
          </cell>
          <cell r="H31">
            <v>377859</v>
          </cell>
          <cell r="J31">
            <v>0</v>
          </cell>
          <cell r="K31">
            <v>350</v>
          </cell>
          <cell r="L31">
            <v>350</v>
          </cell>
          <cell r="N31">
            <v>350</v>
          </cell>
          <cell r="P31">
            <v>0</v>
          </cell>
          <cell r="Q31" t="str">
            <v>Trat. 30/07 - 710p - ZF</v>
          </cell>
          <cell r="T31">
            <v>4</v>
          </cell>
        </row>
        <row r="32">
          <cell r="A32">
            <v>202562580</v>
          </cell>
          <cell r="B32" t="str">
            <v>65.110.04650-0</v>
          </cell>
          <cell r="C32" t="str">
            <v>LAMINA INOX ATERR LCD 15" DIEBOLD ROHS              REV-00</v>
          </cell>
          <cell r="D32" t="str">
            <v/>
          </cell>
          <cell r="E32" t="str">
            <v>KION IND E COM LT</v>
          </cell>
          <cell r="F32">
            <v>401</v>
          </cell>
          <cell r="G32">
            <v>44019</v>
          </cell>
          <cell r="H32">
            <v>668725</v>
          </cell>
          <cell r="I32" t="str">
            <v>K</v>
          </cell>
          <cell r="J32">
            <v>-27</v>
          </cell>
          <cell r="K32">
            <v>100</v>
          </cell>
          <cell r="L32">
            <v>100</v>
          </cell>
          <cell r="P32">
            <v>100</v>
          </cell>
          <cell r="Q32" t="str">
            <v>ESTAMP. 30/07 - FM (COMPRAR MAT)</v>
          </cell>
          <cell r="S32">
            <v>44067</v>
          </cell>
          <cell r="T32">
            <v>7</v>
          </cell>
        </row>
        <row r="33">
          <cell r="A33">
            <v>202562581</v>
          </cell>
          <cell r="B33" t="str">
            <v>65.110.04650-0</v>
          </cell>
          <cell r="C33" t="str">
            <v>LAMINA INOX ATERR LCD 15" DIEBOLD ROHS              REV-00</v>
          </cell>
          <cell r="D33" t="str">
            <v/>
          </cell>
          <cell r="E33" t="str">
            <v>KION IND E COM LT</v>
          </cell>
          <cell r="F33">
            <v>401</v>
          </cell>
          <cell r="G33">
            <v>44019</v>
          </cell>
          <cell r="H33">
            <v>668725</v>
          </cell>
          <cell r="I33" t="str">
            <v>K</v>
          </cell>
          <cell r="J33">
            <v>-27</v>
          </cell>
          <cell r="K33">
            <v>100</v>
          </cell>
          <cell r="L33">
            <v>100</v>
          </cell>
          <cell r="P33">
            <v>100</v>
          </cell>
          <cell r="Q33" t="str">
            <v>ESTAMP. 30/07 - FM (COMPRAR MAT)</v>
          </cell>
          <cell r="S33">
            <v>44067</v>
          </cell>
          <cell r="T33">
            <v>7</v>
          </cell>
        </row>
        <row r="34">
          <cell r="A34">
            <v>202562582</v>
          </cell>
          <cell r="B34" t="str">
            <v>65.110.04650-0</v>
          </cell>
          <cell r="C34" t="str">
            <v>LAMINA INOX ATERR LCD 15" DIEBOLD ROHS              REV-00</v>
          </cell>
          <cell r="D34" t="str">
            <v/>
          </cell>
          <cell r="E34" t="str">
            <v>KION IND E COM LT</v>
          </cell>
          <cell r="F34">
            <v>401</v>
          </cell>
          <cell r="G34">
            <v>44019</v>
          </cell>
          <cell r="H34">
            <v>668725</v>
          </cell>
          <cell r="I34" t="str">
            <v>K</v>
          </cell>
          <cell r="J34">
            <v>-27</v>
          </cell>
          <cell r="K34">
            <v>100</v>
          </cell>
          <cell r="L34">
            <v>100</v>
          </cell>
          <cell r="P34">
            <v>100</v>
          </cell>
          <cell r="Q34" t="str">
            <v>ESTAMP. 30/07 - FM (COMPRAR MAT)</v>
          </cell>
          <cell r="S34">
            <v>44074</v>
          </cell>
          <cell r="T34">
            <v>8</v>
          </cell>
        </row>
        <row r="35">
          <cell r="A35">
            <v>202562583</v>
          </cell>
          <cell r="B35" t="str">
            <v>65.110.04650-0</v>
          </cell>
          <cell r="C35" t="str">
            <v>LAMINA INOX ATERR LCD 15" DIEBOLD ROHS              REV-00</v>
          </cell>
          <cell r="D35" t="str">
            <v/>
          </cell>
          <cell r="E35" t="str">
            <v>KION IND E COM LT</v>
          </cell>
          <cell r="F35">
            <v>401</v>
          </cell>
          <cell r="G35">
            <v>44019</v>
          </cell>
          <cell r="H35">
            <v>668725</v>
          </cell>
          <cell r="I35" t="str">
            <v>K</v>
          </cell>
          <cell r="J35">
            <v>-27</v>
          </cell>
          <cell r="K35">
            <v>100</v>
          </cell>
          <cell r="L35">
            <v>100</v>
          </cell>
          <cell r="P35">
            <v>100</v>
          </cell>
          <cell r="Q35" t="str">
            <v>ESTAMP. 30/07 - FM (COMPRAR MAT)</v>
          </cell>
          <cell r="S35">
            <v>44074</v>
          </cell>
          <cell r="T35">
            <v>8</v>
          </cell>
        </row>
        <row r="36">
          <cell r="A36">
            <v>999933189</v>
          </cell>
          <cell r="B36" t="str">
            <v>65.111.08409-5</v>
          </cell>
          <cell r="C36" t="str">
            <v xml:space="preserve">GUIA POSICAO SHUTTER RM4 SUP ROHS                   REV-00  </v>
          </cell>
          <cell r="D36" t="str">
            <v/>
          </cell>
          <cell r="E36" t="str">
            <v>KION IND E COM LT</v>
          </cell>
          <cell r="F36">
            <v>401</v>
          </cell>
          <cell r="G36">
            <v>43997</v>
          </cell>
          <cell r="H36">
            <v>668725</v>
          </cell>
          <cell r="I36" t="str">
            <v>K</v>
          </cell>
          <cell r="J36">
            <v>0</v>
          </cell>
          <cell r="K36">
            <v>150</v>
          </cell>
          <cell r="L36">
            <v>150</v>
          </cell>
          <cell r="M36">
            <v>150</v>
          </cell>
          <cell r="P36">
            <v>0</v>
          </cell>
          <cell r="Q36" t="str">
            <v>Trat. 02/07 - DIADEMA</v>
          </cell>
          <cell r="T36">
            <v>4</v>
          </cell>
        </row>
        <row r="37">
          <cell r="A37">
            <v>202562584</v>
          </cell>
          <cell r="B37" t="str">
            <v>65.110.04650-0</v>
          </cell>
          <cell r="C37" t="str">
            <v>LAMINA INOX ATERR LCD 15" DIEBOLD ROHS              REV-00</v>
          </cell>
          <cell r="D37" t="str">
            <v/>
          </cell>
          <cell r="E37" t="str">
            <v>KION IND E COM LT</v>
          </cell>
          <cell r="F37">
            <v>401</v>
          </cell>
          <cell r="G37">
            <v>44019</v>
          </cell>
          <cell r="H37">
            <v>668725</v>
          </cell>
          <cell r="I37" t="str">
            <v>K</v>
          </cell>
          <cell r="J37">
            <v>-27</v>
          </cell>
          <cell r="K37">
            <v>100</v>
          </cell>
          <cell r="L37">
            <v>100</v>
          </cell>
          <cell r="P37">
            <v>100</v>
          </cell>
          <cell r="Q37" t="str">
            <v>ESTAMP. 30/07 - FM (COMPRAR MAT)</v>
          </cell>
          <cell r="S37">
            <v>44074</v>
          </cell>
          <cell r="T37">
            <v>8</v>
          </cell>
        </row>
        <row r="38">
          <cell r="A38">
            <v>999956353</v>
          </cell>
          <cell r="B38" t="str">
            <v>65.111.08465-1</v>
          </cell>
          <cell r="C38" t="str">
            <v xml:space="preserve">BASE FIX LT CONTACTLESS BB 2017 ROHS                REV-00  </v>
          </cell>
          <cell r="D38" t="str">
            <v/>
          </cell>
          <cell r="E38" t="str">
            <v>KION IND E COM LT</v>
          </cell>
          <cell r="F38">
            <v>401</v>
          </cell>
          <cell r="G38">
            <v>43990</v>
          </cell>
          <cell r="H38">
            <v>668725</v>
          </cell>
          <cell r="I38" t="str">
            <v>K</v>
          </cell>
          <cell r="J38">
            <v>0</v>
          </cell>
          <cell r="K38">
            <v>100</v>
          </cell>
          <cell r="L38">
            <v>100</v>
          </cell>
          <cell r="N38">
            <v>100</v>
          </cell>
          <cell r="P38">
            <v>0</v>
          </cell>
          <cell r="Q38" t="str">
            <v>Trat. 02/07 - DIADEMA</v>
          </cell>
          <cell r="T38">
            <v>4</v>
          </cell>
        </row>
        <row r="39">
          <cell r="A39">
            <v>999956354</v>
          </cell>
          <cell r="B39" t="str">
            <v>65.111.08465-1</v>
          </cell>
          <cell r="C39" t="str">
            <v xml:space="preserve">BASE FIX LT CONTACTLESS BB 2017 ROHS                REV-00  </v>
          </cell>
          <cell r="D39" t="str">
            <v/>
          </cell>
          <cell r="E39" t="str">
            <v>KION IND E COM LT</v>
          </cell>
          <cell r="F39">
            <v>401</v>
          </cell>
          <cell r="G39">
            <v>43990</v>
          </cell>
          <cell r="H39">
            <v>668725</v>
          </cell>
          <cell r="I39" t="str">
            <v>K</v>
          </cell>
          <cell r="J39">
            <v>0</v>
          </cell>
          <cell r="K39">
            <v>100</v>
          </cell>
          <cell r="L39">
            <v>100</v>
          </cell>
          <cell r="N39">
            <v>100</v>
          </cell>
          <cell r="P39">
            <v>0</v>
          </cell>
          <cell r="Q39" t="str">
            <v>Trat. 02/07 - DIADEMA</v>
          </cell>
          <cell r="T39">
            <v>4</v>
          </cell>
        </row>
        <row r="40">
          <cell r="A40">
            <v>999956355</v>
          </cell>
          <cell r="B40" t="str">
            <v>65.111.08465-1</v>
          </cell>
          <cell r="C40" t="str">
            <v xml:space="preserve">BASE FIX LT CONTACTLESS BB 2017 ROHS                REV-00  </v>
          </cell>
          <cell r="D40" t="str">
            <v/>
          </cell>
          <cell r="E40" t="str">
            <v>KION IND E COM LT</v>
          </cell>
          <cell r="F40">
            <v>401</v>
          </cell>
          <cell r="G40">
            <v>43990</v>
          </cell>
          <cell r="H40">
            <v>668725</v>
          </cell>
          <cell r="I40" t="str">
            <v>K</v>
          </cell>
          <cell r="J40">
            <v>0</v>
          </cell>
          <cell r="K40">
            <v>100</v>
          </cell>
          <cell r="L40">
            <v>100</v>
          </cell>
          <cell r="N40">
            <v>100</v>
          </cell>
          <cell r="P40">
            <v>0</v>
          </cell>
          <cell r="Q40" t="str">
            <v>Trat. 02/07 - DIADEMA</v>
          </cell>
          <cell r="T40">
            <v>4</v>
          </cell>
        </row>
        <row r="41">
          <cell r="A41">
            <v>999956356</v>
          </cell>
          <cell r="B41" t="str">
            <v>65.111.08465-1</v>
          </cell>
          <cell r="C41" t="str">
            <v xml:space="preserve">BASE FIX LT CONTACTLESS BB 2017 ROHS                REV-00  </v>
          </cell>
          <cell r="D41" t="str">
            <v/>
          </cell>
          <cell r="E41" t="str">
            <v>KION IND E COM LT</v>
          </cell>
          <cell r="F41">
            <v>401</v>
          </cell>
          <cell r="G41">
            <v>43997</v>
          </cell>
          <cell r="H41">
            <v>668725</v>
          </cell>
          <cell r="I41" t="str">
            <v>K</v>
          </cell>
          <cell r="J41">
            <v>0</v>
          </cell>
          <cell r="K41">
            <v>150</v>
          </cell>
          <cell r="L41">
            <v>150</v>
          </cell>
          <cell r="N41">
            <v>150</v>
          </cell>
          <cell r="P41">
            <v>0</v>
          </cell>
          <cell r="Q41" t="str">
            <v>Trat. 02/07 - DIADEMA</v>
          </cell>
          <cell r="T41">
            <v>4</v>
          </cell>
        </row>
        <row r="42">
          <cell r="A42">
            <v>202562585</v>
          </cell>
          <cell r="B42" t="str">
            <v>65.110.04650-0</v>
          </cell>
          <cell r="C42" t="str">
            <v>LAMINA INOX ATERR LCD 15" DIEBOLD ROHS              REV-00</v>
          </cell>
          <cell r="D42" t="str">
            <v/>
          </cell>
          <cell r="E42" t="str">
            <v>KION IND E COM LT</v>
          </cell>
          <cell r="F42">
            <v>401</v>
          </cell>
          <cell r="G42">
            <v>44019</v>
          </cell>
          <cell r="H42">
            <v>668725</v>
          </cell>
          <cell r="I42" t="str">
            <v>K</v>
          </cell>
          <cell r="J42">
            <v>-27</v>
          </cell>
          <cell r="K42">
            <v>100</v>
          </cell>
          <cell r="L42">
            <v>100</v>
          </cell>
          <cell r="P42">
            <v>100</v>
          </cell>
          <cell r="Q42" t="str">
            <v>ESTAMP. 30/07 - FM (COMPRAR MAT)</v>
          </cell>
          <cell r="S42">
            <v>44074</v>
          </cell>
          <cell r="T42">
            <v>8</v>
          </cell>
        </row>
        <row r="43">
          <cell r="A43">
            <v>9999564102</v>
          </cell>
          <cell r="B43" t="str">
            <v>65.111.08466-8</v>
          </cell>
          <cell r="C43" t="str">
            <v xml:space="preserve">SUP MOLA RETORNO TRAVA ROHS                         REV-02  </v>
          </cell>
          <cell r="D43" t="str">
            <v/>
          </cell>
          <cell r="E43" t="str">
            <v>KION IND E COM LT</v>
          </cell>
          <cell r="F43">
            <v>401</v>
          </cell>
          <cell r="G43">
            <v>43997</v>
          </cell>
          <cell r="H43">
            <v>668725</v>
          </cell>
          <cell r="I43" t="str">
            <v>K</v>
          </cell>
          <cell r="J43">
            <v>0</v>
          </cell>
          <cell r="K43">
            <v>100</v>
          </cell>
          <cell r="L43">
            <v>100</v>
          </cell>
          <cell r="M43">
            <v>100</v>
          </cell>
          <cell r="P43">
            <v>0</v>
          </cell>
          <cell r="Q43" t="str">
            <v>Trat. 02/07 - ZF</v>
          </cell>
          <cell r="T43">
            <v>4</v>
          </cell>
        </row>
        <row r="44">
          <cell r="A44">
            <v>9999564103</v>
          </cell>
          <cell r="B44" t="str">
            <v>65.111.08466-8</v>
          </cell>
          <cell r="C44" t="str">
            <v xml:space="preserve">SUP MOLA RETORNO TRAVA ROHS                         REV-02  </v>
          </cell>
          <cell r="D44" t="str">
            <v/>
          </cell>
          <cell r="E44" t="str">
            <v>KION IND E COM LT</v>
          </cell>
          <cell r="F44">
            <v>401</v>
          </cell>
          <cell r="G44">
            <v>43997</v>
          </cell>
          <cell r="H44">
            <v>668725</v>
          </cell>
          <cell r="I44" t="str">
            <v>K</v>
          </cell>
          <cell r="J44">
            <v>0</v>
          </cell>
          <cell r="K44">
            <v>100</v>
          </cell>
          <cell r="L44">
            <v>100</v>
          </cell>
          <cell r="M44">
            <v>100</v>
          </cell>
          <cell r="P44">
            <v>0</v>
          </cell>
          <cell r="Q44" t="str">
            <v>Trat. 02/07 - ZF</v>
          </cell>
          <cell r="T44">
            <v>4</v>
          </cell>
        </row>
        <row r="45">
          <cell r="A45">
            <v>9999564104</v>
          </cell>
          <cell r="B45" t="str">
            <v>65.111.08466-8</v>
          </cell>
          <cell r="C45" t="str">
            <v xml:space="preserve">SUP MOLA RETORNO TRAVA ROHS                         REV-02  </v>
          </cell>
          <cell r="D45" t="str">
            <v/>
          </cell>
          <cell r="E45" t="str">
            <v>KION IND E COM LT</v>
          </cell>
          <cell r="F45">
            <v>401</v>
          </cell>
          <cell r="G45">
            <v>43997</v>
          </cell>
          <cell r="H45">
            <v>668725</v>
          </cell>
          <cell r="I45" t="str">
            <v>K</v>
          </cell>
          <cell r="J45">
            <v>0</v>
          </cell>
          <cell r="K45">
            <v>100</v>
          </cell>
          <cell r="L45">
            <v>100</v>
          </cell>
          <cell r="N45">
            <v>100</v>
          </cell>
          <cell r="P45">
            <v>0</v>
          </cell>
          <cell r="Q45" t="str">
            <v>Trat. 02/07 - ZF</v>
          </cell>
          <cell r="T45">
            <v>4</v>
          </cell>
        </row>
        <row r="46">
          <cell r="A46">
            <v>202562586</v>
          </cell>
          <cell r="B46" t="str">
            <v>65.110.04650-0</v>
          </cell>
          <cell r="C46" t="str">
            <v>LAMINA INOX ATERR LCD 15" DIEBOLD ROHS              REV-00</v>
          </cell>
          <cell r="D46" t="str">
            <v/>
          </cell>
          <cell r="E46" t="str">
            <v>KION IND E COM LT</v>
          </cell>
          <cell r="F46">
            <v>401</v>
          </cell>
          <cell r="G46">
            <v>44025</v>
          </cell>
          <cell r="H46">
            <v>668725</v>
          </cell>
          <cell r="I46" t="str">
            <v>K</v>
          </cell>
          <cell r="J46">
            <v>-21</v>
          </cell>
          <cell r="K46">
            <v>100</v>
          </cell>
          <cell r="L46">
            <v>100</v>
          </cell>
          <cell r="P46">
            <v>100</v>
          </cell>
          <cell r="Q46" t="str">
            <v>ESTAMP. 30/07 - FM (COMPRAR MAT)</v>
          </cell>
          <cell r="S46">
            <v>44074</v>
          </cell>
          <cell r="T46">
            <v>8</v>
          </cell>
        </row>
        <row r="47">
          <cell r="A47">
            <v>202562587</v>
          </cell>
          <cell r="B47" t="str">
            <v>65.110.04650-0</v>
          </cell>
          <cell r="C47" t="str">
            <v>LAMINA INOX ATERR LCD 15" DIEBOLD ROHS              REV-00</v>
          </cell>
          <cell r="D47" t="str">
            <v/>
          </cell>
          <cell r="E47" t="str">
            <v>KION IND E COM LT</v>
          </cell>
          <cell r="F47">
            <v>401</v>
          </cell>
          <cell r="G47">
            <v>44025</v>
          </cell>
          <cell r="H47">
            <v>668725</v>
          </cell>
          <cell r="I47" t="str">
            <v>K</v>
          </cell>
          <cell r="J47">
            <v>-21</v>
          </cell>
          <cell r="K47">
            <v>100</v>
          </cell>
          <cell r="L47">
            <v>100</v>
          </cell>
          <cell r="P47">
            <v>100</v>
          </cell>
          <cell r="Q47" t="str">
            <v>ESTAMP. 30/07 - FM (COMPRAR MAT)</v>
          </cell>
          <cell r="S47">
            <v>44081</v>
          </cell>
          <cell r="T47">
            <v>9</v>
          </cell>
        </row>
        <row r="48">
          <cell r="A48">
            <v>202562588</v>
          </cell>
          <cell r="B48" t="str">
            <v>65.110.04650-0</v>
          </cell>
          <cell r="C48" t="str">
            <v>LAMINA INOX ATERR LCD 15" DIEBOLD ROHS              REV-00</v>
          </cell>
          <cell r="D48" t="str">
            <v/>
          </cell>
          <cell r="E48" t="str">
            <v>KION IND E COM LT</v>
          </cell>
          <cell r="F48">
            <v>401</v>
          </cell>
          <cell r="G48">
            <v>44025</v>
          </cell>
          <cell r="H48">
            <v>668725</v>
          </cell>
          <cell r="I48" t="str">
            <v>K</v>
          </cell>
          <cell r="J48">
            <v>-21</v>
          </cell>
          <cell r="K48">
            <v>100</v>
          </cell>
          <cell r="L48">
            <v>100</v>
          </cell>
          <cell r="P48">
            <v>100</v>
          </cell>
          <cell r="Q48" t="str">
            <v>ESTAMP. 30/07 - FM (COMPRAR MAT)</v>
          </cell>
          <cell r="S48">
            <v>44081</v>
          </cell>
          <cell r="T48">
            <v>9</v>
          </cell>
        </row>
        <row r="49">
          <cell r="A49">
            <v>202562589</v>
          </cell>
          <cell r="B49" t="str">
            <v>65.110.04650-0</v>
          </cell>
          <cell r="C49" t="str">
            <v>LAMINA INOX ATERR LCD 15" DIEBOLD ROHS              REV-00</v>
          </cell>
          <cell r="D49" t="str">
            <v/>
          </cell>
          <cell r="E49" t="str">
            <v>KION IND E COM LT</v>
          </cell>
          <cell r="F49">
            <v>401</v>
          </cell>
          <cell r="G49">
            <v>44025</v>
          </cell>
          <cell r="H49">
            <v>668725</v>
          </cell>
          <cell r="I49" t="str">
            <v>K</v>
          </cell>
          <cell r="J49">
            <v>-21</v>
          </cell>
          <cell r="K49">
            <v>100</v>
          </cell>
          <cell r="L49">
            <v>100</v>
          </cell>
          <cell r="P49">
            <v>100</v>
          </cell>
          <cell r="Q49" t="str">
            <v>ESTAMP. 30/07 - FM (COMPRAR MAT)</v>
          </cell>
          <cell r="S49">
            <v>44081</v>
          </cell>
          <cell r="T49">
            <v>9</v>
          </cell>
        </row>
        <row r="50">
          <cell r="A50">
            <v>202562590</v>
          </cell>
          <cell r="B50" t="str">
            <v>65.110.04650-0</v>
          </cell>
          <cell r="C50" t="str">
            <v>LAMINA INOX ATERR LCD 15" DIEBOLD ROHS              REV-00</v>
          </cell>
          <cell r="D50" t="str">
            <v/>
          </cell>
          <cell r="E50" t="str">
            <v>KION IND E COM LT</v>
          </cell>
          <cell r="F50">
            <v>401</v>
          </cell>
          <cell r="G50">
            <v>44025</v>
          </cell>
          <cell r="H50">
            <v>668725</v>
          </cell>
          <cell r="I50" t="str">
            <v>K</v>
          </cell>
          <cell r="J50">
            <v>-21</v>
          </cell>
          <cell r="K50">
            <v>100</v>
          </cell>
          <cell r="L50">
            <v>100</v>
          </cell>
          <cell r="P50">
            <v>100</v>
          </cell>
          <cell r="Q50" t="str">
            <v>ESTAMP. 30/07 - FM (COMPRAR MAT)</v>
          </cell>
          <cell r="S50">
            <v>44081</v>
          </cell>
          <cell r="T50">
            <v>9</v>
          </cell>
        </row>
        <row r="51">
          <cell r="A51">
            <v>978734001</v>
          </cell>
          <cell r="B51" t="str">
            <v>65.111.08893-6</v>
          </cell>
          <cell r="C51" t="str">
            <v xml:space="preserve">TAMPA PROT PUXADOR TRV PNL ROHS                     REV-01  </v>
          </cell>
          <cell r="D51" t="str">
            <v/>
          </cell>
          <cell r="E51" t="str">
            <v>KION IND E COM LT</v>
          </cell>
          <cell r="F51">
            <v>401</v>
          </cell>
          <cell r="G51">
            <v>44018</v>
          </cell>
          <cell r="H51">
            <v>376920</v>
          </cell>
          <cell r="J51">
            <v>0</v>
          </cell>
          <cell r="K51">
            <v>300</v>
          </cell>
          <cell r="L51">
            <v>200</v>
          </cell>
          <cell r="O51">
            <v>200</v>
          </cell>
          <cell r="P51">
            <v>0</v>
          </cell>
          <cell r="Q51" t="str">
            <v>Trat. 08/07 - 304p - GDL</v>
          </cell>
          <cell r="T51">
            <v>4</v>
          </cell>
        </row>
        <row r="52">
          <cell r="A52">
            <v>202562591</v>
          </cell>
          <cell r="B52" t="str">
            <v>65.110.04650-0</v>
          </cell>
          <cell r="C52" t="str">
            <v>LAMINA INOX ATERR LCD 15" DIEBOLD ROHS              REV-00</v>
          </cell>
          <cell r="D52" t="str">
            <v/>
          </cell>
          <cell r="E52" t="str">
            <v>KION IND E COM LT</v>
          </cell>
          <cell r="F52">
            <v>401</v>
          </cell>
          <cell r="G52">
            <v>44025</v>
          </cell>
          <cell r="H52">
            <v>668725</v>
          </cell>
          <cell r="I52" t="str">
            <v>K</v>
          </cell>
          <cell r="J52">
            <v>-21</v>
          </cell>
          <cell r="K52">
            <v>100</v>
          </cell>
          <cell r="L52">
            <v>100</v>
          </cell>
          <cell r="P52">
            <v>100</v>
          </cell>
          <cell r="Q52" t="str">
            <v>ESTAMP. 30/07 - FM (COMPRAR MAT)</v>
          </cell>
          <cell r="S52">
            <v>44081</v>
          </cell>
          <cell r="T52">
            <v>9</v>
          </cell>
        </row>
        <row r="53">
          <cell r="A53">
            <v>978708002</v>
          </cell>
          <cell r="B53" t="str">
            <v>65.111.08941-0</v>
          </cell>
          <cell r="C53" t="str">
            <v xml:space="preserve">SUP FIX DIR TRILHO/TRINCO IMP ROHS                  REV-00  </v>
          </cell>
          <cell r="D53" t="str">
            <v/>
          </cell>
          <cell r="E53" t="str">
            <v>KION IND E COM LT</v>
          </cell>
          <cell r="F53">
            <v>401</v>
          </cell>
          <cell r="G53">
            <v>44032</v>
          </cell>
          <cell r="H53">
            <v>376920</v>
          </cell>
          <cell r="J53">
            <v>0</v>
          </cell>
          <cell r="K53">
            <v>300</v>
          </cell>
          <cell r="L53">
            <v>100</v>
          </cell>
          <cell r="O53">
            <v>100</v>
          </cell>
          <cell r="P53">
            <v>0</v>
          </cell>
          <cell r="Q53" t="str">
            <v>Trat. 15/07 - DIADEMA</v>
          </cell>
          <cell r="T53">
            <v>4</v>
          </cell>
        </row>
        <row r="54">
          <cell r="A54">
            <v>202562592</v>
          </cell>
          <cell r="B54" t="str">
            <v>65.110.04650-0</v>
          </cell>
          <cell r="C54" t="str">
            <v>LAMINA INOX ATERR LCD 15" DIEBOLD ROHS              REV-00</v>
          </cell>
          <cell r="D54" t="str">
            <v/>
          </cell>
          <cell r="E54" t="str">
            <v>KION IND E COM LT</v>
          </cell>
          <cell r="F54">
            <v>401</v>
          </cell>
          <cell r="G54">
            <v>44025</v>
          </cell>
          <cell r="H54">
            <v>668725</v>
          </cell>
          <cell r="I54" t="str">
            <v>K</v>
          </cell>
          <cell r="J54">
            <v>-21</v>
          </cell>
          <cell r="K54">
            <v>100</v>
          </cell>
          <cell r="L54">
            <v>100</v>
          </cell>
          <cell r="P54">
            <v>100</v>
          </cell>
          <cell r="Q54" t="str">
            <v>ESTAMP. 30/07 - FM (COMPRAR MAT)</v>
          </cell>
          <cell r="S54">
            <v>44081</v>
          </cell>
          <cell r="T54">
            <v>9</v>
          </cell>
        </row>
        <row r="55">
          <cell r="A55">
            <v>202562593</v>
          </cell>
          <cell r="B55" t="str">
            <v>65.110.04650-0</v>
          </cell>
          <cell r="C55" t="str">
            <v>LAMINA INOX ATERR LCD 15" DIEBOLD ROHS              REV-00</v>
          </cell>
          <cell r="D55" t="str">
            <v/>
          </cell>
          <cell r="E55" t="str">
            <v>KION IND E COM LT</v>
          </cell>
          <cell r="F55">
            <v>401</v>
          </cell>
          <cell r="G55">
            <v>44025</v>
          </cell>
          <cell r="H55">
            <v>668725</v>
          </cell>
          <cell r="I55" t="str">
            <v>K</v>
          </cell>
          <cell r="J55">
            <v>-21</v>
          </cell>
          <cell r="K55">
            <v>100</v>
          </cell>
          <cell r="L55">
            <v>100</v>
          </cell>
          <cell r="P55">
            <v>100</v>
          </cell>
          <cell r="Q55" t="str">
            <v>ESTAMP. 30/07 - FM (COMPRAR MAT)</v>
          </cell>
          <cell r="S55">
            <v>44081</v>
          </cell>
          <cell r="T55">
            <v>9</v>
          </cell>
        </row>
        <row r="56">
          <cell r="A56">
            <v>202562594</v>
          </cell>
          <cell r="B56" t="str">
            <v>65.110.04650-0</v>
          </cell>
          <cell r="C56" t="str">
            <v>LAMINA INOX ATERR LCD 15" DIEBOLD ROHS              REV-00</v>
          </cell>
          <cell r="D56" t="str">
            <v/>
          </cell>
          <cell r="E56" t="str">
            <v>KION IND E COM LT</v>
          </cell>
          <cell r="F56">
            <v>401</v>
          </cell>
          <cell r="G56">
            <v>44025</v>
          </cell>
          <cell r="H56">
            <v>668725</v>
          </cell>
          <cell r="I56" t="str">
            <v>K</v>
          </cell>
          <cell r="J56">
            <v>-21</v>
          </cell>
          <cell r="K56">
            <v>100</v>
          </cell>
          <cell r="L56">
            <v>100</v>
          </cell>
          <cell r="P56">
            <v>100</v>
          </cell>
          <cell r="Q56" t="str">
            <v>ESTAMP. 30/07 - FM (COMPRAR MAT)</v>
          </cell>
          <cell r="S56">
            <v>44088</v>
          </cell>
          <cell r="T56">
            <v>10</v>
          </cell>
        </row>
        <row r="57">
          <cell r="A57">
            <v>202562595</v>
          </cell>
          <cell r="B57" t="str">
            <v>65.110.04650-0</v>
          </cell>
          <cell r="C57" t="str">
            <v>LAMINA INOX ATERR LCD 15" DIEBOLD ROHS              REV-00</v>
          </cell>
          <cell r="D57" t="str">
            <v/>
          </cell>
          <cell r="E57" t="str">
            <v>KION IND E COM LT</v>
          </cell>
          <cell r="F57">
            <v>401</v>
          </cell>
          <cell r="G57">
            <v>44032</v>
          </cell>
          <cell r="H57">
            <v>668725</v>
          </cell>
          <cell r="I57" t="str">
            <v>K</v>
          </cell>
          <cell r="J57">
            <v>-14</v>
          </cell>
          <cell r="K57">
            <v>100</v>
          </cell>
          <cell r="L57">
            <v>100</v>
          </cell>
          <cell r="P57">
            <v>100</v>
          </cell>
          <cell r="Q57" t="str">
            <v>ESTAMP. 30/07 - FM (COMPRAR MAT)</v>
          </cell>
          <cell r="S57">
            <v>44088</v>
          </cell>
          <cell r="T57">
            <v>10</v>
          </cell>
        </row>
        <row r="58">
          <cell r="A58">
            <v>202562596</v>
          </cell>
          <cell r="B58" t="str">
            <v>65.110.04650-0</v>
          </cell>
          <cell r="C58" t="str">
            <v>LAMINA INOX ATERR LCD 15" DIEBOLD ROHS              REV-00</v>
          </cell>
          <cell r="D58" t="str">
            <v/>
          </cell>
          <cell r="E58" t="str">
            <v>KION IND E COM LT</v>
          </cell>
          <cell r="F58">
            <v>401</v>
          </cell>
          <cell r="G58">
            <v>44032</v>
          </cell>
          <cell r="H58">
            <v>668725</v>
          </cell>
          <cell r="I58" t="str">
            <v>K</v>
          </cell>
          <cell r="J58">
            <v>-14</v>
          </cell>
          <cell r="K58">
            <v>100</v>
          </cell>
          <cell r="L58">
            <v>100</v>
          </cell>
          <cell r="P58">
            <v>100</v>
          </cell>
          <cell r="Q58" t="str">
            <v>ESTAMP. 30/07 - FM (COMPRAR MAT)</v>
          </cell>
          <cell r="S58">
            <v>44088</v>
          </cell>
          <cell r="T58">
            <v>10</v>
          </cell>
        </row>
        <row r="59">
          <cell r="A59">
            <v>202562597</v>
          </cell>
          <cell r="B59" t="str">
            <v>65.110.04650-0</v>
          </cell>
          <cell r="C59" t="str">
            <v>LAMINA INOX ATERR LCD 15" DIEBOLD ROHS              REV-00</v>
          </cell>
          <cell r="D59" t="str">
            <v/>
          </cell>
          <cell r="E59" t="str">
            <v>KION IND E COM LT</v>
          </cell>
          <cell r="F59">
            <v>401</v>
          </cell>
          <cell r="G59">
            <v>44032</v>
          </cell>
          <cell r="H59">
            <v>668725</v>
          </cell>
          <cell r="I59" t="str">
            <v>K</v>
          </cell>
          <cell r="J59">
            <v>-14</v>
          </cell>
          <cell r="K59">
            <v>100</v>
          </cell>
          <cell r="L59">
            <v>100</v>
          </cell>
          <cell r="P59">
            <v>100</v>
          </cell>
          <cell r="Q59" t="str">
            <v>ESTAMP. 30/07 - FM (COMPRAR MAT)</v>
          </cell>
          <cell r="S59">
            <v>44088</v>
          </cell>
          <cell r="T59">
            <v>10</v>
          </cell>
        </row>
        <row r="60">
          <cell r="A60">
            <v>202561207</v>
          </cell>
          <cell r="B60" t="str">
            <v>65.110.01124-3</v>
          </cell>
          <cell r="C60" t="str">
            <v xml:space="preserve">MOLDURA INOX TEC SETAS PASSO 27MM ROHS              REV-00  </v>
          </cell>
          <cell r="D60" t="str">
            <v/>
          </cell>
          <cell r="E60" t="str">
            <v>KION IND E COM LT</v>
          </cell>
          <cell r="F60">
            <v>401</v>
          </cell>
          <cell r="G60">
            <v>43983</v>
          </cell>
          <cell r="H60">
            <v>668725</v>
          </cell>
          <cell r="I60" t="str">
            <v>K</v>
          </cell>
          <cell r="J60">
            <v>0</v>
          </cell>
          <cell r="K60">
            <v>100</v>
          </cell>
          <cell r="L60">
            <v>100</v>
          </cell>
          <cell r="O60">
            <v>100</v>
          </cell>
          <cell r="P60">
            <v>0</v>
          </cell>
          <cell r="Q60" t="str">
            <v>Laser 17/07  FM</v>
          </cell>
          <cell r="T60">
            <v>5</v>
          </cell>
        </row>
        <row r="61">
          <cell r="A61">
            <v>202561208</v>
          </cell>
          <cell r="B61" t="str">
            <v>65.110.01124-3</v>
          </cell>
          <cell r="C61" t="str">
            <v xml:space="preserve">MOLDURA INOX TEC SETAS PASSO 27MM ROHS              REV-00  </v>
          </cell>
          <cell r="D61" t="str">
            <v/>
          </cell>
          <cell r="E61" t="str">
            <v>KION IND E COM LT</v>
          </cell>
          <cell r="F61">
            <v>401</v>
          </cell>
          <cell r="G61">
            <v>43983</v>
          </cell>
          <cell r="H61">
            <v>668725</v>
          </cell>
          <cell r="I61" t="str">
            <v>K</v>
          </cell>
          <cell r="J61">
            <v>0</v>
          </cell>
          <cell r="K61">
            <v>100</v>
          </cell>
          <cell r="L61">
            <v>100</v>
          </cell>
          <cell r="O61">
            <v>100</v>
          </cell>
          <cell r="P61">
            <v>0</v>
          </cell>
          <cell r="Q61" t="str">
            <v>Laser 17/07  FM</v>
          </cell>
          <cell r="T61">
            <v>5</v>
          </cell>
        </row>
        <row r="62">
          <cell r="A62">
            <v>202561209</v>
          </cell>
          <cell r="B62" t="str">
            <v>65.110.01124-3</v>
          </cell>
          <cell r="C62" t="str">
            <v xml:space="preserve">MOLDURA INOX TEC SETAS PASSO 27MM ROHS              REV-00  </v>
          </cell>
          <cell r="D62" t="str">
            <v/>
          </cell>
          <cell r="E62" t="str">
            <v>KION IND E COM LT</v>
          </cell>
          <cell r="F62">
            <v>401</v>
          </cell>
          <cell r="G62">
            <v>43997</v>
          </cell>
          <cell r="H62">
            <v>668725</v>
          </cell>
          <cell r="I62" t="str">
            <v>K</v>
          </cell>
          <cell r="J62">
            <v>0</v>
          </cell>
          <cell r="K62">
            <v>100</v>
          </cell>
          <cell r="L62">
            <v>100</v>
          </cell>
          <cell r="O62">
            <v>100</v>
          </cell>
          <cell r="P62">
            <v>0</v>
          </cell>
          <cell r="Q62" t="str">
            <v>Laser 17/07  FM</v>
          </cell>
          <cell r="T62">
            <v>5</v>
          </cell>
        </row>
        <row r="63">
          <cell r="A63">
            <v>202561210</v>
          </cell>
          <cell r="B63" t="str">
            <v>65.110.01124-3</v>
          </cell>
          <cell r="C63" t="str">
            <v xml:space="preserve">MOLDURA INOX TEC SETAS PASSO 27MM ROHS              REV-00  </v>
          </cell>
          <cell r="D63" t="str">
            <v/>
          </cell>
          <cell r="E63" t="str">
            <v>KION IND E COM LT</v>
          </cell>
          <cell r="F63">
            <v>401</v>
          </cell>
          <cell r="G63">
            <v>43997</v>
          </cell>
          <cell r="H63">
            <v>668725</v>
          </cell>
          <cell r="I63" t="str">
            <v>K</v>
          </cell>
          <cell r="J63">
            <v>0</v>
          </cell>
          <cell r="K63">
            <v>100</v>
          </cell>
          <cell r="L63">
            <v>100</v>
          </cell>
          <cell r="O63">
            <v>100</v>
          </cell>
          <cell r="P63">
            <v>0</v>
          </cell>
          <cell r="Q63" t="str">
            <v>Laser 17/07  FM</v>
          </cell>
          <cell r="T63">
            <v>5</v>
          </cell>
        </row>
        <row r="64">
          <cell r="A64">
            <v>202561211</v>
          </cell>
          <cell r="B64" t="str">
            <v>65.110.01124-3</v>
          </cell>
          <cell r="C64" t="str">
            <v xml:space="preserve">MOLDURA INOX TEC SETAS PASSO 27MM ROHS              REV-00  </v>
          </cell>
          <cell r="D64" t="str">
            <v/>
          </cell>
          <cell r="E64" t="str">
            <v>KION IND E COM LT</v>
          </cell>
          <cell r="F64">
            <v>401</v>
          </cell>
          <cell r="G64">
            <v>43997</v>
          </cell>
          <cell r="H64">
            <v>668725</v>
          </cell>
          <cell r="I64" t="str">
            <v>K</v>
          </cell>
          <cell r="J64">
            <v>0</v>
          </cell>
          <cell r="K64">
            <v>100</v>
          </cell>
          <cell r="L64">
            <v>100</v>
          </cell>
          <cell r="O64">
            <v>100</v>
          </cell>
          <cell r="P64">
            <v>0</v>
          </cell>
          <cell r="Q64" t="str">
            <v>Laser 17/07  FM</v>
          </cell>
          <cell r="T64">
            <v>5</v>
          </cell>
        </row>
        <row r="65">
          <cell r="A65">
            <v>202562598</v>
          </cell>
          <cell r="B65" t="str">
            <v>65.110.04650-0</v>
          </cell>
          <cell r="C65" t="str">
            <v>LAMINA INOX ATERR LCD 15" DIEBOLD ROHS              REV-00</v>
          </cell>
          <cell r="D65" t="str">
            <v/>
          </cell>
          <cell r="E65" t="str">
            <v>KION IND E COM LT</v>
          </cell>
          <cell r="F65">
            <v>401</v>
          </cell>
          <cell r="G65">
            <v>44032</v>
          </cell>
          <cell r="H65">
            <v>668725</v>
          </cell>
          <cell r="I65" t="str">
            <v>K</v>
          </cell>
          <cell r="J65">
            <v>-14</v>
          </cell>
          <cell r="K65">
            <v>100</v>
          </cell>
          <cell r="L65">
            <v>100</v>
          </cell>
          <cell r="P65">
            <v>100</v>
          </cell>
          <cell r="Q65" t="str">
            <v>ESTAMP. 30/07 - FM (COMPRAR MAT)</v>
          </cell>
          <cell r="S65">
            <v>44088</v>
          </cell>
          <cell r="T65">
            <v>10</v>
          </cell>
        </row>
        <row r="66">
          <cell r="A66">
            <v>202562599</v>
          </cell>
          <cell r="B66" t="str">
            <v>65.110.04650-0</v>
          </cell>
          <cell r="C66" t="str">
            <v>LAMINA INOX ATERR LCD 15" DIEBOLD ROHS              REV-00</v>
          </cell>
          <cell r="D66" t="str">
            <v/>
          </cell>
          <cell r="E66" t="str">
            <v>KION IND E COM LT</v>
          </cell>
          <cell r="F66">
            <v>401</v>
          </cell>
          <cell r="G66">
            <v>44032</v>
          </cell>
          <cell r="H66">
            <v>668725</v>
          </cell>
          <cell r="I66" t="str">
            <v>K</v>
          </cell>
          <cell r="J66">
            <v>-14</v>
          </cell>
          <cell r="K66">
            <v>100</v>
          </cell>
          <cell r="L66">
            <v>100</v>
          </cell>
          <cell r="P66">
            <v>100</v>
          </cell>
          <cell r="Q66" t="str">
            <v>ESTAMP. 30/07 - FM (COMPRAR MAT)</v>
          </cell>
          <cell r="S66">
            <v>44088</v>
          </cell>
          <cell r="T66">
            <v>10</v>
          </cell>
        </row>
        <row r="67">
          <cell r="A67">
            <v>202580135</v>
          </cell>
          <cell r="B67" t="str">
            <v>65.111.07188-0</v>
          </cell>
          <cell r="C67" t="str">
            <v xml:space="preserve">SUP MVL BARCODE ROHS                                REV-00  </v>
          </cell>
          <cell r="D67" t="str">
            <v/>
          </cell>
          <cell r="E67" t="str">
            <v>KION IND E COM LT</v>
          </cell>
          <cell r="F67">
            <v>401</v>
          </cell>
          <cell r="G67">
            <v>43990</v>
          </cell>
          <cell r="H67">
            <v>668725</v>
          </cell>
          <cell r="I67" t="str">
            <v>K</v>
          </cell>
          <cell r="J67">
            <v>0</v>
          </cell>
          <cell r="K67">
            <v>100</v>
          </cell>
          <cell r="L67">
            <v>5</v>
          </cell>
          <cell r="M67">
            <v>5</v>
          </cell>
          <cell r="P67">
            <v>0</v>
          </cell>
          <cell r="Q67" t="str">
            <v>EST OK</v>
          </cell>
          <cell r="T67">
            <v>5</v>
          </cell>
        </row>
        <row r="68">
          <cell r="A68">
            <v>202580137</v>
          </cell>
          <cell r="B68" t="str">
            <v>65.111.07188-0</v>
          </cell>
          <cell r="C68" t="str">
            <v xml:space="preserve">SUP MVL BARCODE ROHS                                REV-00  </v>
          </cell>
          <cell r="D68" t="str">
            <v/>
          </cell>
          <cell r="E68" t="str">
            <v>KION IND E COM LT</v>
          </cell>
          <cell r="F68">
            <v>401</v>
          </cell>
          <cell r="G68">
            <v>43990</v>
          </cell>
          <cell r="H68">
            <v>668725</v>
          </cell>
          <cell r="I68" t="str">
            <v>K</v>
          </cell>
          <cell r="J68">
            <v>0</v>
          </cell>
          <cell r="K68">
            <v>100</v>
          </cell>
          <cell r="L68">
            <v>100</v>
          </cell>
          <cell r="N68">
            <v>100</v>
          </cell>
          <cell r="P68">
            <v>0</v>
          </cell>
          <cell r="Q68" t="str">
            <v>LASER 18/06 - FM</v>
          </cell>
          <cell r="T68">
            <v>5</v>
          </cell>
        </row>
        <row r="69">
          <cell r="A69">
            <v>202580138</v>
          </cell>
          <cell r="B69" t="str">
            <v>65.111.07188-0</v>
          </cell>
          <cell r="C69" t="str">
            <v xml:space="preserve">SUP MVL BARCODE ROHS                                REV-00  </v>
          </cell>
          <cell r="D69" t="str">
            <v/>
          </cell>
          <cell r="E69" t="str">
            <v>KION IND E COM LT</v>
          </cell>
          <cell r="F69">
            <v>401</v>
          </cell>
          <cell r="G69">
            <v>43997</v>
          </cell>
          <cell r="H69">
            <v>668725</v>
          </cell>
          <cell r="I69" t="str">
            <v>K</v>
          </cell>
          <cell r="J69">
            <v>0</v>
          </cell>
          <cell r="K69">
            <v>125</v>
          </cell>
          <cell r="L69">
            <v>125</v>
          </cell>
          <cell r="M69">
            <v>120</v>
          </cell>
          <cell r="N69">
            <v>5</v>
          </cell>
          <cell r="P69">
            <v>0</v>
          </cell>
          <cell r="Q69" t="str">
            <v>LASER 18/06 - FM</v>
          </cell>
          <cell r="T69">
            <v>5</v>
          </cell>
        </row>
        <row r="70">
          <cell r="A70">
            <v>202580139</v>
          </cell>
          <cell r="B70" t="str">
            <v>65.111.07188-0</v>
          </cell>
          <cell r="C70" t="str">
            <v xml:space="preserve">SUP MVL BARCODE ROHS                                REV-00  </v>
          </cell>
          <cell r="D70" t="str">
            <v/>
          </cell>
          <cell r="E70" t="str">
            <v>KION IND E COM LT</v>
          </cell>
          <cell r="F70">
            <v>401</v>
          </cell>
          <cell r="G70">
            <v>44011</v>
          </cell>
          <cell r="H70">
            <v>668725</v>
          </cell>
          <cell r="I70" t="str">
            <v>K</v>
          </cell>
          <cell r="J70">
            <v>0</v>
          </cell>
          <cell r="K70">
            <v>100</v>
          </cell>
          <cell r="L70">
            <v>100</v>
          </cell>
          <cell r="M70">
            <v>100</v>
          </cell>
          <cell r="P70">
            <v>0</v>
          </cell>
          <cell r="Q70" t="str">
            <v>88 PEÇAS EM ESTOQUE</v>
          </cell>
          <cell r="T70">
            <v>5</v>
          </cell>
        </row>
        <row r="71">
          <cell r="A71">
            <v>203620107</v>
          </cell>
          <cell r="B71" t="str">
            <v>65.110.04909-7</v>
          </cell>
          <cell r="C71" t="str">
            <v xml:space="preserve">COMPL PUSH BOTTO GAB 1/4" ROHS                      REV-00  </v>
          </cell>
          <cell r="D71" t="str">
            <v/>
          </cell>
          <cell r="E71" t="str">
            <v>KION IND E COM LT</v>
          </cell>
          <cell r="F71">
            <v>401</v>
          </cell>
          <cell r="G71">
            <v>44019</v>
          </cell>
          <cell r="H71">
            <v>668725</v>
          </cell>
          <cell r="I71" t="str">
            <v>K</v>
          </cell>
          <cell r="J71">
            <v>-27</v>
          </cell>
          <cell r="K71">
            <v>100</v>
          </cell>
          <cell r="L71">
            <v>100</v>
          </cell>
          <cell r="P71">
            <v>100</v>
          </cell>
          <cell r="Q71" t="str">
            <v>Trat. 20/07 - ZF</v>
          </cell>
          <cell r="S71">
            <v>44060</v>
          </cell>
          <cell r="T71">
            <v>6</v>
          </cell>
        </row>
        <row r="72">
          <cell r="A72">
            <v>203620108</v>
          </cell>
          <cell r="B72" t="str">
            <v>65.110.04909-7</v>
          </cell>
          <cell r="C72" t="str">
            <v xml:space="preserve">COMPL PUSH BOTTO GAB 1/4" ROHS                      REV-00  </v>
          </cell>
          <cell r="D72" t="str">
            <v/>
          </cell>
          <cell r="E72" t="str">
            <v>KION IND E COM LT</v>
          </cell>
          <cell r="F72">
            <v>401</v>
          </cell>
          <cell r="G72">
            <v>44019</v>
          </cell>
          <cell r="H72">
            <v>668725</v>
          </cell>
          <cell r="I72" t="str">
            <v>K</v>
          </cell>
          <cell r="J72">
            <v>-27</v>
          </cell>
          <cell r="K72">
            <v>100</v>
          </cell>
          <cell r="L72">
            <v>100</v>
          </cell>
          <cell r="P72">
            <v>100</v>
          </cell>
          <cell r="Q72" t="str">
            <v>Trat. 20/07 - ZF</v>
          </cell>
          <cell r="S72">
            <v>44067</v>
          </cell>
          <cell r="T72">
            <v>7</v>
          </cell>
        </row>
        <row r="73">
          <cell r="A73">
            <v>202588147</v>
          </cell>
          <cell r="B73" t="str">
            <v>65.111.07203-6</v>
          </cell>
          <cell r="C73" t="str">
            <v xml:space="preserve">SUP 2 BAT 12V ROHS                                  REV-02  </v>
          </cell>
          <cell r="D73" t="str">
            <v/>
          </cell>
          <cell r="E73" t="str">
            <v>KION IND E COM LT</v>
          </cell>
          <cell r="F73">
            <v>401</v>
          </cell>
          <cell r="G73">
            <v>43997</v>
          </cell>
          <cell r="H73">
            <v>668725</v>
          </cell>
          <cell r="I73" t="str">
            <v>K</v>
          </cell>
          <cell r="J73">
            <v>0</v>
          </cell>
          <cell r="K73">
            <v>150</v>
          </cell>
          <cell r="L73">
            <v>150</v>
          </cell>
          <cell r="N73">
            <v>150</v>
          </cell>
          <cell r="P73">
            <v>0</v>
          </cell>
          <cell r="Q73" t="str">
            <v>Trat. 01/07 - DIADEMA</v>
          </cell>
          <cell r="T73">
            <v>5</v>
          </cell>
        </row>
        <row r="74">
          <cell r="A74">
            <v>202588148</v>
          </cell>
          <cell r="B74" t="str">
            <v>65.111.07203-6</v>
          </cell>
          <cell r="C74" t="str">
            <v xml:space="preserve">SUP 2 BAT 12V ROHS                                  REV-02  </v>
          </cell>
          <cell r="D74" t="str">
            <v/>
          </cell>
          <cell r="E74" t="str">
            <v>KION IND E COM LT</v>
          </cell>
          <cell r="F74">
            <v>401</v>
          </cell>
          <cell r="G74">
            <v>44011</v>
          </cell>
          <cell r="H74">
            <v>668725</v>
          </cell>
          <cell r="I74" t="str">
            <v>K</v>
          </cell>
          <cell r="J74">
            <v>0</v>
          </cell>
          <cell r="K74">
            <v>100</v>
          </cell>
          <cell r="L74">
            <v>100</v>
          </cell>
          <cell r="N74">
            <v>100</v>
          </cell>
          <cell r="P74">
            <v>0</v>
          </cell>
          <cell r="Q74" t="str">
            <v>Trat. 22/07 - 559p - DIADEMA</v>
          </cell>
          <cell r="T74">
            <v>5</v>
          </cell>
        </row>
        <row r="75">
          <cell r="A75">
            <v>202588149</v>
          </cell>
          <cell r="B75" t="str">
            <v>65.111.07203-6</v>
          </cell>
          <cell r="C75" t="str">
            <v xml:space="preserve">SUP 2 BAT 12V ROHS                                  REV-02  </v>
          </cell>
          <cell r="D75" t="str">
            <v/>
          </cell>
          <cell r="E75" t="str">
            <v>KION IND E COM LT</v>
          </cell>
          <cell r="F75">
            <v>401</v>
          </cell>
          <cell r="G75">
            <v>44011</v>
          </cell>
          <cell r="H75">
            <v>668725</v>
          </cell>
          <cell r="I75" t="str">
            <v>K</v>
          </cell>
          <cell r="J75">
            <v>0</v>
          </cell>
          <cell r="K75">
            <v>100</v>
          </cell>
          <cell r="L75">
            <v>100</v>
          </cell>
          <cell r="N75">
            <v>100</v>
          </cell>
          <cell r="P75">
            <v>0</v>
          </cell>
          <cell r="Q75" t="str">
            <v>Trat. 22/07 - DIADEMA</v>
          </cell>
          <cell r="T75">
            <v>5</v>
          </cell>
        </row>
        <row r="76">
          <cell r="A76">
            <v>203620109</v>
          </cell>
          <cell r="B76" t="str">
            <v>65.110.04909-7</v>
          </cell>
          <cell r="C76" t="str">
            <v xml:space="preserve">COMPL PUSH BOTTO GAB 1/4" ROHS                      REV-00  </v>
          </cell>
          <cell r="D76" t="str">
            <v/>
          </cell>
          <cell r="E76" t="str">
            <v>KION IND E COM LT</v>
          </cell>
          <cell r="F76">
            <v>401</v>
          </cell>
          <cell r="G76">
            <v>44025</v>
          </cell>
          <cell r="H76">
            <v>668725</v>
          </cell>
          <cell r="I76" t="str">
            <v>K</v>
          </cell>
          <cell r="J76">
            <v>-21</v>
          </cell>
          <cell r="K76">
            <v>100</v>
          </cell>
          <cell r="L76">
            <v>100</v>
          </cell>
          <cell r="P76">
            <v>100</v>
          </cell>
          <cell r="Q76" t="str">
            <v>LASER 30/07 - FM</v>
          </cell>
          <cell r="S76">
            <v>44067</v>
          </cell>
          <cell r="T76">
            <v>7</v>
          </cell>
        </row>
        <row r="77">
          <cell r="A77">
            <v>202594110</v>
          </cell>
          <cell r="B77" t="str">
            <v>65.111.07312-1</v>
          </cell>
          <cell r="C77" t="str">
            <v xml:space="preserve">SUP FIXO CAM ROHS                                   REV-02  </v>
          </cell>
          <cell r="D77" t="str">
            <v>29-008850-000C</v>
          </cell>
          <cell r="E77" t="str">
            <v>KION IND E COM LT</v>
          </cell>
          <cell r="F77">
            <v>401</v>
          </cell>
          <cell r="G77">
            <v>43983</v>
          </cell>
          <cell r="H77">
            <v>668725</v>
          </cell>
          <cell r="I77" t="str">
            <v>K</v>
          </cell>
          <cell r="J77">
            <v>0</v>
          </cell>
          <cell r="K77">
            <v>100</v>
          </cell>
          <cell r="L77">
            <v>100</v>
          </cell>
          <cell r="O77">
            <v>100</v>
          </cell>
          <cell r="P77">
            <v>0</v>
          </cell>
          <cell r="Q77" t="str">
            <v>Trat. 08/07 - 440p - GDL</v>
          </cell>
          <cell r="T77">
            <v>5</v>
          </cell>
        </row>
        <row r="78">
          <cell r="A78">
            <v>203620110</v>
          </cell>
          <cell r="B78" t="str">
            <v>65.110.04909-7</v>
          </cell>
          <cell r="C78" t="str">
            <v xml:space="preserve">COMPL PUSH BOTTO GAB 1/4" ROHS                      REV-00  </v>
          </cell>
          <cell r="D78" t="str">
            <v/>
          </cell>
          <cell r="E78" t="str">
            <v>KION IND E COM LT</v>
          </cell>
          <cell r="F78">
            <v>401</v>
          </cell>
          <cell r="G78">
            <v>44039</v>
          </cell>
          <cell r="H78">
            <v>668725</v>
          </cell>
          <cell r="I78" t="str">
            <v>K</v>
          </cell>
          <cell r="J78">
            <v>-7</v>
          </cell>
          <cell r="K78">
            <v>100</v>
          </cell>
          <cell r="L78">
            <v>100</v>
          </cell>
          <cell r="P78">
            <v>100</v>
          </cell>
          <cell r="Q78" t="str">
            <v/>
          </cell>
          <cell r="S78">
            <v>44081</v>
          </cell>
          <cell r="T78">
            <v>9</v>
          </cell>
        </row>
        <row r="79">
          <cell r="A79">
            <v>980224001</v>
          </cell>
          <cell r="B79" t="str">
            <v>65.111.07910-5</v>
          </cell>
          <cell r="C79" t="str">
            <v xml:space="preserve">SUPT CB USB "B" CONTING ENTINTAM ATMR FR SAQPAG     REV-01  </v>
          </cell>
          <cell r="D79" t="str">
            <v/>
          </cell>
          <cell r="E79" t="str">
            <v>KION IND E COM LT</v>
          </cell>
          <cell r="F79">
            <v>401</v>
          </cell>
          <cell r="G79">
            <v>44025</v>
          </cell>
          <cell r="H79">
            <v>377203</v>
          </cell>
          <cell r="J79">
            <v>0</v>
          </cell>
          <cell r="K79">
            <v>350</v>
          </cell>
          <cell r="L79">
            <v>350</v>
          </cell>
          <cell r="N79">
            <v>350</v>
          </cell>
          <cell r="P79">
            <v>0</v>
          </cell>
          <cell r="Q79" t="str">
            <v>Trat. 06/07 - 357p - DIADEMA</v>
          </cell>
          <cell r="T79">
            <v>5</v>
          </cell>
        </row>
        <row r="80">
          <cell r="A80">
            <v>980404001</v>
          </cell>
          <cell r="B80" t="str">
            <v>65.111.08009-3</v>
          </cell>
          <cell r="C80" t="str">
            <v xml:space="preserve">SUPT CONEC ARRANC DIP ASKM GLOBAL ENHANCED          REV-00  </v>
          </cell>
          <cell r="D80" t="str">
            <v/>
          </cell>
          <cell r="E80" t="str">
            <v>KION IND E COM LT</v>
          </cell>
          <cell r="F80">
            <v>401</v>
          </cell>
          <cell r="G80">
            <v>44025</v>
          </cell>
          <cell r="H80">
            <v>377203</v>
          </cell>
          <cell r="J80">
            <v>0</v>
          </cell>
          <cell r="K80">
            <v>350</v>
          </cell>
          <cell r="L80">
            <v>7</v>
          </cell>
          <cell r="N80">
            <v>7</v>
          </cell>
          <cell r="P80">
            <v>0</v>
          </cell>
          <cell r="Q80" t="str">
            <v>Trat. 01/07 - 332p - DIADEMA</v>
          </cell>
          <cell r="T80">
            <v>5</v>
          </cell>
        </row>
        <row r="81">
          <cell r="A81">
            <v>203620111</v>
          </cell>
          <cell r="B81" t="str">
            <v>65.110.04909-7</v>
          </cell>
          <cell r="C81" t="str">
            <v xml:space="preserve">COMPL PUSH BOTTO GAB 1/4" ROHS                      REV-00  </v>
          </cell>
          <cell r="D81" t="str">
            <v/>
          </cell>
          <cell r="E81" t="str">
            <v>KION IND E COM LT</v>
          </cell>
          <cell r="F81">
            <v>401</v>
          </cell>
          <cell r="G81">
            <v>44039</v>
          </cell>
          <cell r="H81">
            <v>668725</v>
          </cell>
          <cell r="I81" t="str">
            <v>K</v>
          </cell>
          <cell r="J81">
            <v>-7</v>
          </cell>
          <cell r="K81">
            <v>100</v>
          </cell>
          <cell r="L81">
            <v>100</v>
          </cell>
          <cell r="P81">
            <v>100</v>
          </cell>
          <cell r="Q81" t="str">
            <v/>
          </cell>
          <cell r="S81">
            <v>44081</v>
          </cell>
          <cell r="T81">
            <v>9</v>
          </cell>
        </row>
        <row r="82">
          <cell r="A82">
            <v>980405001</v>
          </cell>
          <cell r="B82" t="str">
            <v>65.111.08010-9</v>
          </cell>
          <cell r="C82" t="str">
            <v xml:space="preserve">SUPT BUCHA ARRANC DIP ASKM GLOBAL ENHANCED          REV-00  </v>
          </cell>
          <cell r="D82" t="str">
            <v/>
          </cell>
          <cell r="E82" t="str">
            <v>KION IND E COM LT</v>
          </cell>
          <cell r="F82">
            <v>401</v>
          </cell>
          <cell r="G82">
            <v>44025</v>
          </cell>
          <cell r="H82">
            <v>377203</v>
          </cell>
          <cell r="J82">
            <v>0</v>
          </cell>
          <cell r="K82">
            <v>352</v>
          </cell>
          <cell r="L82">
            <v>6</v>
          </cell>
          <cell r="N82">
            <v>6</v>
          </cell>
          <cell r="P82">
            <v>0</v>
          </cell>
          <cell r="Q82" t="str">
            <v>Trat. 06/07 - 344p - DIADEMA</v>
          </cell>
          <cell r="T82">
            <v>5</v>
          </cell>
        </row>
        <row r="83">
          <cell r="A83">
            <v>70852500451</v>
          </cell>
          <cell r="B83" t="str">
            <v>65.111.00965-8</v>
          </cell>
          <cell r="C83" t="str">
            <v>SUP SENS PORTA DEP PENTASIS BB                      REV-06</v>
          </cell>
          <cell r="D83" t="str">
            <v/>
          </cell>
          <cell r="E83" t="str">
            <v>KION IND E COM LT</v>
          </cell>
          <cell r="F83">
            <v>401</v>
          </cell>
          <cell r="G83">
            <v>43997</v>
          </cell>
          <cell r="H83">
            <v>668725</v>
          </cell>
          <cell r="I83" t="str">
            <v>K</v>
          </cell>
          <cell r="J83">
            <v>-49</v>
          </cell>
          <cell r="K83">
            <v>100</v>
          </cell>
          <cell r="L83">
            <v>100</v>
          </cell>
          <cell r="P83">
            <v>100</v>
          </cell>
          <cell r="Q83" t="str">
            <v>Laser 08/07 - FM</v>
          </cell>
          <cell r="S83">
            <v>44081</v>
          </cell>
          <cell r="T83">
            <v>9</v>
          </cell>
        </row>
        <row r="84">
          <cell r="A84">
            <v>999930379</v>
          </cell>
          <cell r="B84" t="str">
            <v>65.111.08104-1</v>
          </cell>
          <cell r="C84" t="str">
            <v xml:space="preserve">ESPELHO REDE/SINDAL ROHS                            REV-02  </v>
          </cell>
          <cell r="D84" t="str">
            <v/>
          </cell>
          <cell r="E84" t="str">
            <v>KION IND E COM LT</v>
          </cell>
          <cell r="F84">
            <v>401</v>
          </cell>
          <cell r="G84">
            <v>43990</v>
          </cell>
          <cell r="H84">
            <v>668725</v>
          </cell>
          <cell r="I84" t="str">
            <v>K</v>
          </cell>
          <cell r="J84">
            <v>0</v>
          </cell>
          <cell r="K84">
            <v>100</v>
          </cell>
          <cell r="L84">
            <v>100</v>
          </cell>
          <cell r="M84">
            <v>100</v>
          </cell>
          <cell r="P84">
            <v>0</v>
          </cell>
          <cell r="Q84" t="str">
            <v>Trat. 03/07 - 403p - ZF</v>
          </cell>
          <cell r="T84">
            <v>5</v>
          </cell>
        </row>
        <row r="85">
          <cell r="A85">
            <v>999930380</v>
          </cell>
          <cell r="B85" t="str">
            <v>65.111.08104-1</v>
          </cell>
          <cell r="C85" t="str">
            <v xml:space="preserve">ESPELHO REDE/SINDAL ROHS                            REV-02  </v>
          </cell>
          <cell r="D85" t="str">
            <v/>
          </cell>
          <cell r="E85" t="str">
            <v>KION IND E COM LT</v>
          </cell>
          <cell r="F85">
            <v>401</v>
          </cell>
          <cell r="G85">
            <v>43990</v>
          </cell>
          <cell r="H85">
            <v>668725</v>
          </cell>
          <cell r="I85" t="str">
            <v>K</v>
          </cell>
          <cell r="J85">
            <v>0</v>
          </cell>
          <cell r="K85">
            <v>100</v>
          </cell>
          <cell r="L85">
            <v>100</v>
          </cell>
          <cell r="M85">
            <v>100</v>
          </cell>
          <cell r="P85">
            <v>0</v>
          </cell>
          <cell r="Q85" t="str">
            <v>Trat. 03/07 - ZF</v>
          </cell>
          <cell r="T85">
            <v>5</v>
          </cell>
        </row>
        <row r="86">
          <cell r="A86">
            <v>999930381</v>
          </cell>
          <cell r="B86" t="str">
            <v>65.111.08104-1</v>
          </cell>
          <cell r="C86" t="str">
            <v xml:space="preserve">ESPELHO REDE/SINDAL ROHS                            REV-02  </v>
          </cell>
          <cell r="D86" t="str">
            <v/>
          </cell>
          <cell r="E86" t="str">
            <v>KION IND E COM LT</v>
          </cell>
          <cell r="F86">
            <v>401</v>
          </cell>
          <cell r="G86">
            <v>43990</v>
          </cell>
          <cell r="H86">
            <v>668725</v>
          </cell>
          <cell r="I86" t="str">
            <v>K</v>
          </cell>
          <cell r="J86">
            <v>0</v>
          </cell>
          <cell r="K86">
            <v>100</v>
          </cell>
          <cell r="L86">
            <v>100</v>
          </cell>
          <cell r="M86">
            <v>100</v>
          </cell>
          <cell r="P86">
            <v>0</v>
          </cell>
          <cell r="Q86" t="str">
            <v>Trat. 03/07 - ZF</v>
          </cell>
          <cell r="T86">
            <v>5</v>
          </cell>
        </row>
        <row r="87">
          <cell r="A87">
            <v>999930382</v>
          </cell>
          <cell r="B87" t="str">
            <v>65.111.08104-1</v>
          </cell>
          <cell r="C87" t="str">
            <v xml:space="preserve">ESPELHO REDE/SINDAL ROHS                            REV-02  </v>
          </cell>
          <cell r="D87" t="str">
            <v/>
          </cell>
          <cell r="E87" t="str">
            <v>KION IND E COM LT</v>
          </cell>
          <cell r="F87">
            <v>401</v>
          </cell>
          <cell r="G87">
            <v>43997</v>
          </cell>
          <cell r="H87">
            <v>668725</v>
          </cell>
          <cell r="I87" t="str">
            <v>K</v>
          </cell>
          <cell r="J87">
            <v>0</v>
          </cell>
          <cell r="K87">
            <v>50</v>
          </cell>
          <cell r="L87">
            <v>50</v>
          </cell>
          <cell r="M87">
            <v>50</v>
          </cell>
          <cell r="P87">
            <v>0</v>
          </cell>
          <cell r="Q87" t="str">
            <v>Trat. 03/07 - ZF</v>
          </cell>
          <cell r="T87">
            <v>5</v>
          </cell>
        </row>
        <row r="88">
          <cell r="A88">
            <v>70852500452</v>
          </cell>
          <cell r="B88" t="str">
            <v>65.111.00965-8</v>
          </cell>
          <cell r="C88" t="str">
            <v>SUP SENS PORTA DEP PENTASIS BB                      REV-06</v>
          </cell>
          <cell r="D88" t="str">
            <v/>
          </cell>
          <cell r="E88" t="str">
            <v>KION IND E COM LT</v>
          </cell>
          <cell r="F88">
            <v>401</v>
          </cell>
          <cell r="G88">
            <v>44011</v>
          </cell>
          <cell r="H88">
            <v>668725</v>
          </cell>
          <cell r="I88" t="str">
            <v>K</v>
          </cell>
          <cell r="J88">
            <v>-35</v>
          </cell>
          <cell r="K88">
            <v>100</v>
          </cell>
          <cell r="L88">
            <v>100</v>
          </cell>
          <cell r="P88">
            <v>100</v>
          </cell>
          <cell r="Q88" t="str">
            <v>Laser 08/07 - FM</v>
          </cell>
          <cell r="S88" t="str">
            <v>DF</v>
          </cell>
          <cell r="T88" t="str">
            <v>DF</v>
          </cell>
        </row>
        <row r="89">
          <cell r="A89">
            <v>999930960</v>
          </cell>
          <cell r="B89" t="str">
            <v>65.111.08284-6</v>
          </cell>
          <cell r="C89" t="str">
            <v xml:space="preserve">MANCAL DIREITO EIXO RM4                             REV-00  </v>
          </cell>
          <cell r="D89" t="str">
            <v/>
          </cell>
          <cell r="E89" t="str">
            <v>KION IND E COM LT</v>
          </cell>
          <cell r="F89">
            <v>401</v>
          </cell>
          <cell r="G89">
            <v>43997</v>
          </cell>
          <cell r="H89">
            <v>668725</v>
          </cell>
          <cell r="I89" t="str">
            <v>K</v>
          </cell>
          <cell r="J89">
            <v>0</v>
          </cell>
          <cell r="K89">
            <v>100</v>
          </cell>
          <cell r="L89">
            <v>100</v>
          </cell>
          <cell r="M89">
            <v>100</v>
          </cell>
          <cell r="P89">
            <v>0</v>
          </cell>
          <cell r="Q89" t="str">
            <v>Trat. 03/07 - ZF</v>
          </cell>
          <cell r="T89">
            <v>5</v>
          </cell>
        </row>
        <row r="90">
          <cell r="A90">
            <v>999930962</v>
          </cell>
          <cell r="B90" t="str">
            <v>65.111.08284-6</v>
          </cell>
          <cell r="C90" t="str">
            <v xml:space="preserve">MANCAL DIREITO EIXO RM4                             REV-00  </v>
          </cell>
          <cell r="D90" t="str">
            <v/>
          </cell>
          <cell r="E90" t="str">
            <v>KION IND E COM LT</v>
          </cell>
          <cell r="F90">
            <v>401</v>
          </cell>
          <cell r="G90">
            <v>44011</v>
          </cell>
          <cell r="H90">
            <v>668725</v>
          </cell>
          <cell r="I90" t="str">
            <v>K</v>
          </cell>
          <cell r="J90">
            <v>0</v>
          </cell>
          <cell r="K90">
            <v>100</v>
          </cell>
          <cell r="L90">
            <v>100</v>
          </cell>
          <cell r="O90">
            <v>100</v>
          </cell>
          <cell r="P90">
            <v>0</v>
          </cell>
          <cell r="Q90" t="str">
            <v>EST OK (VK - 20/07)</v>
          </cell>
          <cell r="T90">
            <v>5</v>
          </cell>
        </row>
        <row r="91">
          <cell r="A91">
            <v>20256371</v>
          </cell>
          <cell r="B91" t="str">
            <v>65.111.01007-2</v>
          </cell>
          <cell r="C91" t="str">
            <v>SUP LEITOR BARRAS DEP PENTASIS                      REV-06</v>
          </cell>
          <cell r="D91" t="str">
            <v/>
          </cell>
          <cell r="E91" t="str">
            <v>KION IND E COM LT</v>
          </cell>
          <cell r="F91">
            <v>401</v>
          </cell>
          <cell r="G91">
            <v>44025</v>
          </cell>
          <cell r="H91">
            <v>668725</v>
          </cell>
          <cell r="I91" t="str">
            <v>K</v>
          </cell>
          <cell r="J91">
            <v>-21</v>
          </cell>
          <cell r="K91">
            <v>20</v>
          </cell>
          <cell r="L91">
            <v>20</v>
          </cell>
          <cell r="P91">
            <v>20</v>
          </cell>
          <cell r="Q91" t="str">
            <v/>
          </cell>
          <cell r="S91">
            <v>44081</v>
          </cell>
          <cell r="T91">
            <v>9</v>
          </cell>
        </row>
        <row r="92">
          <cell r="A92">
            <v>6297900154</v>
          </cell>
          <cell r="B92" t="str">
            <v>65.111.01915-4</v>
          </cell>
          <cell r="C92" t="str">
            <v xml:space="preserve">SUP MOVEL CABOS DEP DIEB BB ROHS                    REV-02  </v>
          </cell>
          <cell r="D92" t="str">
            <v/>
          </cell>
          <cell r="E92" t="str">
            <v>KION IND E COM LT</v>
          </cell>
          <cell r="F92">
            <v>401</v>
          </cell>
          <cell r="G92">
            <v>44026</v>
          </cell>
          <cell r="H92">
            <v>668725</v>
          </cell>
          <cell r="I92" t="str">
            <v>K</v>
          </cell>
          <cell r="J92">
            <v>-20</v>
          </cell>
          <cell r="K92">
            <v>100</v>
          </cell>
          <cell r="L92">
            <v>100</v>
          </cell>
          <cell r="P92">
            <v>100</v>
          </cell>
          <cell r="Q92" t="str">
            <v>LASER 30/07 - FM</v>
          </cell>
          <cell r="S92" t="str">
            <v>DF</v>
          </cell>
          <cell r="T92" t="str">
            <v>DF</v>
          </cell>
        </row>
        <row r="93">
          <cell r="A93">
            <v>999931685</v>
          </cell>
          <cell r="B93" t="str">
            <v>65.111.08317-7</v>
          </cell>
          <cell r="C93" t="str">
            <v xml:space="preserve">ESP CONJUGADO C/ ALIVIO ROHS                        REV-02  </v>
          </cell>
          <cell r="D93" t="str">
            <v/>
          </cell>
          <cell r="E93" t="str">
            <v>KION IND E COM LT</v>
          </cell>
          <cell r="F93">
            <v>401</v>
          </cell>
          <cell r="G93">
            <v>43990</v>
          </cell>
          <cell r="H93">
            <v>668725</v>
          </cell>
          <cell r="I93" t="str">
            <v>K</v>
          </cell>
          <cell r="J93">
            <v>0</v>
          </cell>
          <cell r="K93">
            <v>100</v>
          </cell>
          <cell r="L93">
            <v>100</v>
          </cell>
          <cell r="M93">
            <v>100</v>
          </cell>
          <cell r="P93">
            <v>0</v>
          </cell>
          <cell r="Q93" t="str">
            <v>Trat. 06/07 - DIADEMA</v>
          </cell>
          <cell r="T93">
            <v>5</v>
          </cell>
        </row>
        <row r="94">
          <cell r="A94">
            <v>999931686</v>
          </cell>
          <cell r="B94" t="str">
            <v>65.111.08317-7</v>
          </cell>
          <cell r="C94" t="str">
            <v xml:space="preserve">ESP CONJUGADO C/ ALIVIO ROHS                        REV-02  </v>
          </cell>
          <cell r="D94" t="str">
            <v/>
          </cell>
          <cell r="E94" t="str">
            <v>KION IND E COM LT</v>
          </cell>
          <cell r="F94">
            <v>401</v>
          </cell>
          <cell r="G94">
            <v>43990</v>
          </cell>
          <cell r="H94">
            <v>668725</v>
          </cell>
          <cell r="I94" t="str">
            <v>K</v>
          </cell>
          <cell r="J94">
            <v>0</v>
          </cell>
          <cell r="K94">
            <v>100</v>
          </cell>
          <cell r="L94">
            <v>100</v>
          </cell>
          <cell r="N94">
            <v>100</v>
          </cell>
          <cell r="P94">
            <v>0</v>
          </cell>
          <cell r="Q94" t="str">
            <v>Trat. 06/07 - DIADEMA</v>
          </cell>
          <cell r="T94">
            <v>5</v>
          </cell>
        </row>
        <row r="95">
          <cell r="A95">
            <v>999931687</v>
          </cell>
          <cell r="B95" t="str">
            <v>65.111.08317-7</v>
          </cell>
          <cell r="C95" t="str">
            <v xml:space="preserve">ESP CONJUGADO C/ ALIVIO ROHS                        REV-02  </v>
          </cell>
          <cell r="D95" t="str">
            <v/>
          </cell>
          <cell r="E95" t="str">
            <v>KION IND E COM LT</v>
          </cell>
          <cell r="F95">
            <v>401</v>
          </cell>
          <cell r="G95">
            <v>43990</v>
          </cell>
          <cell r="H95">
            <v>668725</v>
          </cell>
          <cell r="I95" t="str">
            <v>K</v>
          </cell>
          <cell r="J95">
            <v>0</v>
          </cell>
          <cell r="K95">
            <v>100</v>
          </cell>
          <cell r="L95">
            <v>100</v>
          </cell>
          <cell r="N95">
            <v>100</v>
          </cell>
          <cell r="P95">
            <v>0</v>
          </cell>
          <cell r="Q95" t="str">
            <v>Trat. 06/07 - DIADEMA</v>
          </cell>
          <cell r="T95">
            <v>5</v>
          </cell>
        </row>
        <row r="96">
          <cell r="A96">
            <v>999931688</v>
          </cell>
          <cell r="B96" t="str">
            <v>65.111.08317-7</v>
          </cell>
          <cell r="C96" t="str">
            <v xml:space="preserve">ESP CONJUGADO C/ ALIVIO ROHS                        REV-02  </v>
          </cell>
          <cell r="D96" t="str">
            <v/>
          </cell>
          <cell r="E96" t="str">
            <v>KION IND E COM LT</v>
          </cell>
          <cell r="F96">
            <v>401</v>
          </cell>
          <cell r="G96">
            <v>43997</v>
          </cell>
          <cell r="H96">
            <v>668725</v>
          </cell>
          <cell r="I96" t="str">
            <v>K</v>
          </cell>
          <cell r="J96">
            <v>0</v>
          </cell>
          <cell r="K96">
            <v>150</v>
          </cell>
          <cell r="L96">
            <v>150</v>
          </cell>
          <cell r="N96">
            <v>150</v>
          </cell>
          <cell r="P96">
            <v>0</v>
          </cell>
          <cell r="Q96" t="str">
            <v>Trat. 06/07 - DIADEMA</v>
          </cell>
          <cell r="T96">
            <v>5</v>
          </cell>
        </row>
        <row r="97">
          <cell r="A97">
            <v>999931689</v>
          </cell>
          <cell r="B97" t="str">
            <v>65.111.08317-7</v>
          </cell>
          <cell r="C97" t="str">
            <v xml:space="preserve">ESP CONJUGADO C/ ALIVIO ROHS                        REV-02  </v>
          </cell>
          <cell r="D97" t="str">
            <v/>
          </cell>
          <cell r="E97" t="str">
            <v>KION IND E COM LT</v>
          </cell>
          <cell r="F97">
            <v>401</v>
          </cell>
          <cell r="G97">
            <v>44011</v>
          </cell>
          <cell r="H97">
            <v>668725</v>
          </cell>
          <cell r="I97" t="str">
            <v>K</v>
          </cell>
          <cell r="J97">
            <v>0</v>
          </cell>
          <cell r="K97">
            <v>100</v>
          </cell>
          <cell r="L97">
            <v>100</v>
          </cell>
          <cell r="N97">
            <v>100</v>
          </cell>
          <cell r="P97">
            <v>0</v>
          </cell>
          <cell r="Q97" t="str">
            <v>Trat. 06/07 - DIADEMA</v>
          </cell>
          <cell r="T97">
            <v>5</v>
          </cell>
        </row>
        <row r="98">
          <cell r="A98">
            <v>974306001</v>
          </cell>
          <cell r="B98" t="str">
            <v>65.111.02069-1</v>
          </cell>
          <cell r="C98" t="str">
            <v>ENCAIXE PAINEL INF ATMEX/FF BB ROHS                 REV-01</v>
          </cell>
          <cell r="D98" t="str">
            <v/>
          </cell>
          <cell r="E98" t="str">
            <v>KION IND E COM LT</v>
          </cell>
          <cell r="F98">
            <v>401</v>
          </cell>
          <cell r="G98">
            <v>44039</v>
          </cell>
          <cell r="H98">
            <v>375976</v>
          </cell>
          <cell r="J98">
            <v>-7</v>
          </cell>
          <cell r="K98">
            <v>200</v>
          </cell>
          <cell r="L98">
            <v>200</v>
          </cell>
          <cell r="P98">
            <v>200</v>
          </cell>
          <cell r="Q98" t="str">
            <v/>
          </cell>
          <cell r="S98" t="str">
            <v>DF</v>
          </cell>
          <cell r="T98" t="str">
            <v>DF</v>
          </cell>
        </row>
        <row r="99">
          <cell r="A99">
            <v>979090001</v>
          </cell>
          <cell r="B99" t="str">
            <v>65.111.02069-1</v>
          </cell>
          <cell r="C99" t="str">
            <v>ENCAIXE PAINEL INF ATMEX/FF BB ROHS                 REV-01</v>
          </cell>
          <cell r="D99" t="str">
            <v/>
          </cell>
          <cell r="E99" t="str">
            <v>KION IND E COM LT</v>
          </cell>
          <cell r="F99">
            <v>401</v>
          </cell>
          <cell r="G99">
            <v>44088</v>
          </cell>
          <cell r="H99">
            <v>376920</v>
          </cell>
          <cell r="J99">
            <v>42</v>
          </cell>
          <cell r="K99">
            <v>150</v>
          </cell>
          <cell r="L99">
            <v>150</v>
          </cell>
          <cell r="P99">
            <v>150</v>
          </cell>
          <cell r="Q99" t="str">
            <v/>
          </cell>
          <cell r="S99" t="str">
            <v>DF</v>
          </cell>
          <cell r="T99" t="str">
            <v>DF</v>
          </cell>
        </row>
        <row r="100">
          <cell r="A100">
            <v>999931784</v>
          </cell>
          <cell r="B100" t="str">
            <v>65.111.08330-6</v>
          </cell>
          <cell r="C100" t="str">
            <v xml:space="preserve">SUP STOP PUSH BUTTON RM4H UPR                       REV-00  </v>
          </cell>
          <cell r="D100" t="str">
            <v/>
          </cell>
          <cell r="E100" t="str">
            <v>KION IND E COM LT</v>
          </cell>
          <cell r="F100">
            <v>401</v>
          </cell>
          <cell r="G100">
            <v>43990</v>
          </cell>
          <cell r="H100">
            <v>668725</v>
          </cell>
          <cell r="I100" t="str">
            <v>K</v>
          </cell>
          <cell r="J100">
            <v>0</v>
          </cell>
          <cell r="K100">
            <v>100</v>
          </cell>
          <cell r="L100">
            <v>100</v>
          </cell>
          <cell r="M100">
            <v>100</v>
          </cell>
          <cell r="P100">
            <v>0</v>
          </cell>
          <cell r="Q100" t="str">
            <v>Trat. 06/07 - ZF</v>
          </cell>
          <cell r="T100">
            <v>5</v>
          </cell>
        </row>
        <row r="101">
          <cell r="A101">
            <v>999931785</v>
          </cell>
          <cell r="B101" t="str">
            <v>65.111.08330-6</v>
          </cell>
          <cell r="C101" t="str">
            <v xml:space="preserve">SUP STOP PUSH BUTTON RM4H UPR                       REV-00  </v>
          </cell>
          <cell r="D101" t="str">
            <v/>
          </cell>
          <cell r="E101" t="str">
            <v>KION IND E COM LT</v>
          </cell>
          <cell r="F101">
            <v>401</v>
          </cell>
          <cell r="G101">
            <v>43990</v>
          </cell>
          <cell r="H101">
            <v>668725</v>
          </cell>
          <cell r="I101" t="str">
            <v>K</v>
          </cell>
          <cell r="J101">
            <v>0</v>
          </cell>
          <cell r="K101">
            <v>100</v>
          </cell>
          <cell r="L101">
            <v>100</v>
          </cell>
          <cell r="M101">
            <v>100</v>
          </cell>
          <cell r="P101">
            <v>0</v>
          </cell>
          <cell r="Q101" t="str">
            <v>Trat. 06/07 - ZF</v>
          </cell>
          <cell r="T101">
            <v>5</v>
          </cell>
        </row>
        <row r="102">
          <cell r="A102">
            <v>999931786</v>
          </cell>
          <cell r="B102" t="str">
            <v>65.111.08330-6</v>
          </cell>
          <cell r="C102" t="str">
            <v xml:space="preserve">SUP STOP PUSH BUTTON RM4H UPR                       REV-00  </v>
          </cell>
          <cell r="D102" t="str">
            <v/>
          </cell>
          <cell r="E102" t="str">
            <v>KION IND E COM LT</v>
          </cell>
          <cell r="F102">
            <v>401</v>
          </cell>
          <cell r="G102">
            <v>43990</v>
          </cell>
          <cell r="H102">
            <v>668725</v>
          </cell>
          <cell r="I102" t="str">
            <v>K</v>
          </cell>
          <cell r="J102">
            <v>0</v>
          </cell>
          <cell r="K102">
            <v>100</v>
          </cell>
          <cell r="L102">
            <v>100</v>
          </cell>
          <cell r="M102">
            <v>100</v>
          </cell>
          <cell r="P102">
            <v>0</v>
          </cell>
          <cell r="Q102" t="str">
            <v>Trat. 06/07 - ZF</v>
          </cell>
          <cell r="T102">
            <v>5</v>
          </cell>
        </row>
        <row r="103">
          <cell r="A103">
            <v>999931787</v>
          </cell>
          <cell r="B103" t="str">
            <v>65.111.08330-6</v>
          </cell>
          <cell r="C103" t="str">
            <v xml:space="preserve">SUP STOP PUSH BUTTON RM4H UPR                       REV-00  </v>
          </cell>
          <cell r="D103" t="str">
            <v/>
          </cell>
          <cell r="E103" t="str">
            <v>KION IND E COM LT</v>
          </cell>
          <cell r="F103">
            <v>401</v>
          </cell>
          <cell r="G103">
            <v>43997</v>
          </cell>
          <cell r="H103">
            <v>668725</v>
          </cell>
          <cell r="I103" t="str">
            <v>K</v>
          </cell>
          <cell r="J103">
            <v>0</v>
          </cell>
          <cell r="K103">
            <v>150</v>
          </cell>
          <cell r="L103">
            <v>150</v>
          </cell>
          <cell r="O103">
            <v>150</v>
          </cell>
          <cell r="P103">
            <v>0</v>
          </cell>
          <cell r="Q103" t="str">
            <v>Trat. 06/07 - ZF</v>
          </cell>
          <cell r="T103">
            <v>5</v>
          </cell>
        </row>
        <row r="104">
          <cell r="A104">
            <v>999931788</v>
          </cell>
          <cell r="B104" t="str">
            <v>65.111.08330-6</v>
          </cell>
          <cell r="C104" t="str">
            <v xml:space="preserve">SUP STOP PUSH BUTTON RM4H UPR                       REV-00  </v>
          </cell>
          <cell r="D104" t="str">
            <v/>
          </cell>
          <cell r="E104" t="str">
            <v>KION IND E COM LT</v>
          </cell>
          <cell r="F104">
            <v>401</v>
          </cell>
          <cell r="G104">
            <v>44011</v>
          </cell>
          <cell r="H104">
            <v>668725</v>
          </cell>
          <cell r="I104" t="str">
            <v>K</v>
          </cell>
          <cell r="J104">
            <v>0</v>
          </cell>
          <cell r="K104">
            <v>100</v>
          </cell>
          <cell r="L104">
            <v>100</v>
          </cell>
          <cell r="N104">
            <v>100</v>
          </cell>
          <cell r="P104">
            <v>0</v>
          </cell>
          <cell r="Q104" t="str">
            <v>Trat. 23/07 - 189p - DIADEMA</v>
          </cell>
          <cell r="T104">
            <v>5</v>
          </cell>
        </row>
        <row r="105">
          <cell r="A105">
            <v>999931789</v>
          </cell>
          <cell r="B105" t="str">
            <v>65.111.08330-6</v>
          </cell>
          <cell r="C105" t="str">
            <v xml:space="preserve">SUP STOP PUSH BUTTON RM4H UPR                       REV-00  </v>
          </cell>
          <cell r="D105" t="str">
            <v/>
          </cell>
          <cell r="E105" t="str">
            <v>KION IND E COM LT</v>
          </cell>
          <cell r="F105">
            <v>401</v>
          </cell>
          <cell r="G105">
            <v>44011</v>
          </cell>
          <cell r="H105">
            <v>668725</v>
          </cell>
          <cell r="I105" t="str">
            <v>K</v>
          </cell>
          <cell r="J105">
            <v>0</v>
          </cell>
          <cell r="K105">
            <v>100</v>
          </cell>
          <cell r="L105">
            <v>100</v>
          </cell>
          <cell r="N105">
            <v>100</v>
          </cell>
          <cell r="P105">
            <v>0</v>
          </cell>
          <cell r="Q105" t="str">
            <v>Trat. 23/07 - DIADEMA</v>
          </cell>
          <cell r="T105">
            <v>5</v>
          </cell>
        </row>
        <row r="106">
          <cell r="A106">
            <v>982092611</v>
          </cell>
          <cell r="B106" t="str">
            <v>65.111.02069-1</v>
          </cell>
          <cell r="C106" t="str">
            <v>ENCAIXE PAINEL INF ATMEX/FF BB ROHS                 REV-01</v>
          </cell>
          <cell r="D106" t="str">
            <v/>
          </cell>
          <cell r="E106" t="str">
            <v>KION IND E COM LT</v>
          </cell>
          <cell r="F106">
            <v>401</v>
          </cell>
          <cell r="G106">
            <v>44116</v>
          </cell>
          <cell r="H106">
            <v>378015</v>
          </cell>
          <cell r="J106">
            <v>70</v>
          </cell>
          <cell r="K106">
            <v>120</v>
          </cell>
          <cell r="L106">
            <v>120</v>
          </cell>
          <cell r="P106">
            <v>120</v>
          </cell>
          <cell r="Q106" t="str">
            <v/>
          </cell>
          <cell r="S106" t="str">
            <v>DF</v>
          </cell>
          <cell r="T106" t="str">
            <v>DF</v>
          </cell>
        </row>
        <row r="107">
          <cell r="A107">
            <v>999931982</v>
          </cell>
          <cell r="B107" t="str">
            <v>65.111.08331-3</v>
          </cell>
          <cell r="C107" t="str">
            <v xml:space="preserve">SUP FIX PUSH BUTTON RM4H LWR                        REV-00  </v>
          </cell>
          <cell r="D107" t="str">
            <v/>
          </cell>
          <cell r="E107" t="str">
            <v>KION IND E COM LT</v>
          </cell>
          <cell r="F107">
            <v>401</v>
          </cell>
          <cell r="G107">
            <v>43983</v>
          </cell>
          <cell r="H107">
            <v>668725</v>
          </cell>
          <cell r="I107" t="str">
            <v>K</v>
          </cell>
          <cell r="J107">
            <v>0</v>
          </cell>
          <cell r="K107">
            <v>100</v>
          </cell>
          <cell r="L107">
            <v>100</v>
          </cell>
          <cell r="M107">
            <v>100</v>
          </cell>
          <cell r="P107">
            <v>0</v>
          </cell>
          <cell r="Q107" t="str">
            <v>Trat. 02/07 - 670p - ZF</v>
          </cell>
          <cell r="T107">
            <v>5</v>
          </cell>
        </row>
        <row r="108">
          <cell r="A108">
            <v>999931983</v>
          </cell>
          <cell r="B108" t="str">
            <v>65.111.08331-3</v>
          </cell>
          <cell r="C108" t="str">
            <v xml:space="preserve">SUP FIX PUSH BUTTON RM4H LWR                        REV-00  </v>
          </cell>
          <cell r="D108" t="str">
            <v/>
          </cell>
          <cell r="E108" t="str">
            <v>KION IND E COM LT</v>
          </cell>
          <cell r="F108">
            <v>401</v>
          </cell>
          <cell r="G108">
            <v>43983</v>
          </cell>
          <cell r="H108">
            <v>668725</v>
          </cell>
          <cell r="I108" t="str">
            <v>K</v>
          </cell>
          <cell r="J108">
            <v>0</v>
          </cell>
          <cell r="K108">
            <v>100</v>
          </cell>
          <cell r="L108">
            <v>100</v>
          </cell>
          <cell r="M108">
            <v>100</v>
          </cell>
          <cell r="P108">
            <v>0</v>
          </cell>
          <cell r="Q108" t="str">
            <v>Trat. 02/07 - ZF</v>
          </cell>
          <cell r="T108">
            <v>5</v>
          </cell>
        </row>
        <row r="109">
          <cell r="A109">
            <v>999931986</v>
          </cell>
          <cell r="B109" t="str">
            <v>65.111.08331-3</v>
          </cell>
          <cell r="C109" t="str">
            <v xml:space="preserve">SUP FIX PUSH BUTTON RM4H LWR                        REV-00  </v>
          </cell>
          <cell r="D109" t="str">
            <v/>
          </cell>
          <cell r="E109" t="str">
            <v>KION IND E COM LT</v>
          </cell>
          <cell r="F109">
            <v>401</v>
          </cell>
          <cell r="G109">
            <v>43990</v>
          </cell>
          <cell r="H109">
            <v>668725</v>
          </cell>
          <cell r="I109" t="str">
            <v>K</v>
          </cell>
          <cell r="J109">
            <v>0</v>
          </cell>
          <cell r="K109">
            <v>100</v>
          </cell>
          <cell r="L109">
            <v>100</v>
          </cell>
          <cell r="M109">
            <v>100</v>
          </cell>
          <cell r="P109">
            <v>0</v>
          </cell>
          <cell r="Q109" t="str">
            <v>Trat. 02/07 - ZF</v>
          </cell>
          <cell r="T109">
            <v>5</v>
          </cell>
        </row>
        <row r="110">
          <cell r="A110">
            <v>999931987</v>
          </cell>
          <cell r="B110" t="str">
            <v>65.111.08331-3</v>
          </cell>
          <cell r="C110" t="str">
            <v xml:space="preserve">SUP FIX PUSH BUTTON RM4H LWR                        REV-00  </v>
          </cell>
          <cell r="D110" t="str">
            <v/>
          </cell>
          <cell r="E110" t="str">
            <v>KION IND E COM LT</v>
          </cell>
          <cell r="F110">
            <v>401</v>
          </cell>
          <cell r="G110">
            <v>43997</v>
          </cell>
          <cell r="H110">
            <v>668725</v>
          </cell>
          <cell r="I110" t="str">
            <v>K</v>
          </cell>
          <cell r="J110">
            <v>0</v>
          </cell>
          <cell r="K110">
            <v>150</v>
          </cell>
          <cell r="L110">
            <v>150</v>
          </cell>
          <cell r="O110">
            <v>150</v>
          </cell>
          <cell r="P110">
            <v>0</v>
          </cell>
          <cell r="Q110" t="str">
            <v>Trat. 02/07 - ZF</v>
          </cell>
          <cell r="T110">
            <v>5</v>
          </cell>
        </row>
        <row r="111">
          <cell r="A111">
            <v>999931988</v>
          </cell>
          <cell r="B111" t="str">
            <v>65.111.08331-3</v>
          </cell>
          <cell r="C111" t="str">
            <v xml:space="preserve">SUP FIX PUSH BUTTON RM4H LWR                        REV-00  </v>
          </cell>
          <cell r="D111" t="str">
            <v/>
          </cell>
          <cell r="E111" t="str">
            <v>KION IND E COM LT</v>
          </cell>
          <cell r="F111">
            <v>401</v>
          </cell>
          <cell r="G111">
            <v>44011</v>
          </cell>
          <cell r="H111">
            <v>668725</v>
          </cell>
          <cell r="I111" t="str">
            <v>K</v>
          </cell>
          <cell r="J111">
            <v>0</v>
          </cell>
          <cell r="K111">
            <v>100</v>
          </cell>
          <cell r="L111">
            <v>100</v>
          </cell>
          <cell r="N111">
            <v>100</v>
          </cell>
          <cell r="P111">
            <v>0</v>
          </cell>
          <cell r="Q111" t="str">
            <v/>
          </cell>
          <cell r="T111">
            <v>5</v>
          </cell>
        </row>
        <row r="112">
          <cell r="A112">
            <v>999931989</v>
          </cell>
          <cell r="B112" t="str">
            <v>65.111.08331-3</v>
          </cell>
          <cell r="C112" t="str">
            <v xml:space="preserve">SUP FIX PUSH BUTTON RM4H LWR                        REV-00  </v>
          </cell>
          <cell r="D112" t="str">
            <v/>
          </cell>
          <cell r="E112" t="str">
            <v>KION IND E COM LT</v>
          </cell>
          <cell r="F112">
            <v>401</v>
          </cell>
          <cell r="G112">
            <v>44011</v>
          </cell>
          <cell r="H112">
            <v>668725</v>
          </cell>
          <cell r="I112" t="str">
            <v>K</v>
          </cell>
          <cell r="J112">
            <v>0</v>
          </cell>
          <cell r="K112">
            <v>100</v>
          </cell>
          <cell r="L112">
            <v>100</v>
          </cell>
          <cell r="N112">
            <v>100</v>
          </cell>
          <cell r="P112">
            <v>0</v>
          </cell>
          <cell r="Q112" t="str">
            <v/>
          </cell>
          <cell r="T112">
            <v>5</v>
          </cell>
        </row>
        <row r="113">
          <cell r="A113">
            <v>70857000352</v>
          </cell>
          <cell r="B113" t="str">
            <v>65.111.02158-8</v>
          </cell>
          <cell r="C113" t="str">
            <v xml:space="preserve">SUPTE REED SWITCH                                   REV-04  </v>
          </cell>
          <cell r="D113" t="str">
            <v/>
          </cell>
          <cell r="E113" t="str">
            <v>KION IND E COM LT</v>
          </cell>
          <cell r="F113">
            <v>401</v>
          </cell>
          <cell r="G113">
            <v>44025</v>
          </cell>
          <cell r="H113">
            <v>668725</v>
          </cell>
          <cell r="I113" t="str">
            <v>K</v>
          </cell>
          <cell r="J113">
            <v>-21</v>
          </cell>
          <cell r="K113">
            <v>100</v>
          </cell>
          <cell r="L113">
            <v>100</v>
          </cell>
          <cell r="P113">
            <v>100</v>
          </cell>
          <cell r="Q113" t="str">
            <v>Trat. 10/08 - 83p - DIADEMA</v>
          </cell>
          <cell r="S113" t="str">
            <v>DF</v>
          </cell>
          <cell r="T113" t="str">
            <v>DF</v>
          </cell>
        </row>
        <row r="114">
          <cell r="A114">
            <v>974299001</v>
          </cell>
          <cell r="B114" t="str">
            <v>65.111.03146-6</v>
          </cell>
          <cell r="C114" t="str">
            <v>SUPT TRV GATIL MMD UBB  ROHS REV-00                 REV-01</v>
          </cell>
          <cell r="D114" t="str">
            <v/>
          </cell>
          <cell r="E114" t="str">
            <v>KION IND E COM LT</v>
          </cell>
          <cell r="F114">
            <v>401</v>
          </cell>
          <cell r="G114">
            <v>44039</v>
          </cell>
          <cell r="H114">
            <v>375976</v>
          </cell>
          <cell r="J114">
            <v>-7</v>
          </cell>
          <cell r="K114">
            <v>100</v>
          </cell>
          <cell r="L114">
            <v>100</v>
          </cell>
          <cell r="P114">
            <v>100</v>
          </cell>
          <cell r="Q114" t="str">
            <v/>
          </cell>
          <cell r="S114" t="str">
            <v>DF</v>
          </cell>
          <cell r="T114" t="str">
            <v>DF</v>
          </cell>
        </row>
        <row r="115">
          <cell r="A115">
            <v>979108001</v>
          </cell>
          <cell r="B115" t="str">
            <v>65.111.03146-6</v>
          </cell>
          <cell r="C115" t="str">
            <v>SUPT TRV GATIL MMD UBB  ROHS REV-00                 REV-01</v>
          </cell>
          <cell r="D115" t="str">
            <v/>
          </cell>
          <cell r="E115" t="str">
            <v>KION IND E COM LT</v>
          </cell>
          <cell r="F115">
            <v>401</v>
          </cell>
          <cell r="G115">
            <v>44088</v>
          </cell>
          <cell r="H115">
            <v>376920</v>
          </cell>
          <cell r="J115">
            <v>42</v>
          </cell>
          <cell r="K115">
            <v>80</v>
          </cell>
          <cell r="L115">
            <v>80</v>
          </cell>
          <cell r="P115">
            <v>80</v>
          </cell>
          <cell r="Q115" t="str">
            <v/>
          </cell>
          <cell r="S115" t="str">
            <v>DF</v>
          </cell>
          <cell r="T115" t="str">
            <v>DF</v>
          </cell>
        </row>
        <row r="116">
          <cell r="A116">
            <v>9999322153</v>
          </cell>
          <cell r="B116" t="str">
            <v>65.111.08355-9</v>
          </cell>
          <cell r="C116" t="str">
            <v xml:space="preserve">CHAPA TRAVAMENTO RM4                                REV-00  </v>
          </cell>
          <cell r="D116" t="str">
            <v/>
          </cell>
          <cell r="E116" t="str">
            <v>KION IND E COM LT</v>
          </cell>
          <cell r="F116">
            <v>401</v>
          </cell>
          <cell r="G116">
            <v>43983</v>
          </cell>
          <cell r="H116">
            <v>668725</v>
          </cell>
          <cell r="I116" t="str">
            <v>K</v>
          </cell>
          <cell r="J116">
            <v>0</v>
          </cell>
          <cell r="K116">
            <v>100</v>
          </cell>
          <cell r="L116">
            <v>100</v>
          </cell>
          <cell r="O116">
            <v>100</v>
          </cell>
          <cell r="P116">
            <v>0</v>
          </cell>
          <cell r="Q116" t="str">
            <v>Trat. 15/07 - 1250p - DIADEMA</v>
          </cell>
          <cell r="T116">
            <v>5</v>
          </cell>
        </row>
        <row r="117">
          <cell r="A117">
            <v>9999322154</v>
          </cell>
          <cell r="B117" t="str">
            <v>65.111.08355-9</v>
          </cell>
          <cell r="C117" t="str">
            <v xml:space="preserve">CHAPA TRAVAMENTO RM4                                REV-00  </v>
          </cell>
          <cell r="D117" t="str">
            <v/>
          </cell>
          <cell r="E117" t="str">
            <v>KION IND E COM LT</v>
          </cell>
          <cell r="F117">
            <v>401</v>
          </cell>
          <cell r="G117">
            <v>43983</v>
          </cell>
          <cell r="H117">
            <v>668725</v>
          </cell>
          <cell r="I117" t="str">
            <v>K</v>
          </cell>
          <cell r="J117">
            <v>0</v>
          </cell>
          <cell r="K117">
            <v>100</v>
          </cell>
          <cell r="L117">
            <v>100</v>
          </cell>
          <cell r="O117">
            <v>100</v>
          </cell>
          <cell r="P117">
            <v>0</v>
          </cell>
          <cell r="Q117" t="str">
            <v>Trat. 15/07 - DIADEMA</v>
          </cell>
          <cell r="T117">
            <v>5</v>
          </cell>
        </row>
        <row r="118">
          <cell r="A118">
            <v>9999322155</v>
          </cell>
          <cell r="B118" t="str">
            <v>65.111.08355-9</v>
          </cell>
          <cell r="C118" t="str">
            <v xml:space="preserve">CHAPA TRAVAMENTO RM4                                REV-00  </v>
          </cell>
          <cell r="D118" t="str">
            <v/>
          </cell>
          <cell r="E118" t="str">
            <v>KION IND E COM LT</v>
          </cell>
          <cell r="F118">
            <v>401</v>
          </cell>
          <cell r="G118">
            <v>43983</v>
          </cell>
          <cell r="H118">
            <v>668725</v>
          </cell>
          <cell r="I118" t="str">
            <v>K</v>
          </cell>
          <cell r="J118">
            <v>0</v>
          </cell>
          <cell r="K118">
            <v>100</v>
          </cell>
          <cell r="L118">
            <v>100</v>
          </cell>
          <cell r="O118">
            <v>100</v>
          </cell>
          <cell r="P118">
            <v>0</v>
          </cell>
          <cell r="Q118" t="str">
            <v>Trat. 15/07 - DIADEMA</v>
          </cell>
          <cell r="T118">
            <v>5</v>
          </cell>
        </row>
        <row r="119">
          <cell r="A119">
            <v>9999322156</v>
          </cell>
          <cell r="B119" t="str">
            <v>65.111.08355-9</v>
          </cell>
          <cell r="C119" t="str">
            <v xml:space="preserve">CHAPA TRAVAMENTO RM4                                REV-00  </v>
          </cell>
          <cell r="D119" t="str">
            <v/>
          </cell>
          <cell r="E119" t="str">
            <v>KION IND E COM LT</v>
          </cell>
          <cell r="F119">
            <v>401</v>
          </cell>
          <cell r="G119">
            <v>43990</v>
          </cell>
          <cell r="H119">
            <v>668725</v>
          </cell>
          <cell r="I119" t="str">
            <v>K</v>
          </cell>
          <cell r="J119">
            <v>0</v>
          </cell>
          <cell r="K119">
            <v>100</v>
          </cell>
          <cell r="L119">
            <v>100</v>
          </cell>
          <cell r="O119">
            <v>100</v>
          </cell>
          <cell r="P119">
            <v>0</v>
          </cell>
          <cell r="Q119" t="str">
            <v>Trat. 15/07 - DIADEMA</v>
          </cell>
          <cell r="T119">
            <v>5</v>
          </cell>
        </row>
        <row r="120">
          <cell r="A120">
            <v>9999322157</v>
          </cell>
          <cell r="B120" t="str">
            <v>65.111.08355-9</v>
          </cell>
          <cell r="C120" t="str">
            <v xml:space="preserve">CHAPA TRAVAMENTO RM4                                REV-00  </v>
          </cell>
          <cell r="D120" t="str">
            <v/>
          </cell>
          <cell r="E120" t="str">
            <v>KION IND E COM LT</v>
          </cell>
          <cell r="F120">
            <v>401</v>
          </cell>
          <cell r="G120">
            <v>43990</v>
          </cell>
          <cell r="H120">
            <v>668725</v>
          </cell>
          <cell r="I120" t="str">
            <v>K</v>
          </cell>
          <cell r="J120">
            <v>0</v>
          </cell>
          <cell r="K120">
            <v>100</v>
          </cell>
          <cell r="L120">
            <v>100</v>
          </cell>
          <cell r="O120">
            <v>100</v>
          </cell>
          <cell r="P120">
            <v>0</v>
          </cell>
          <cell r="Q120" t="str">
            <v>Trat. 15/07 - DIADEMA</v>
          </cell>
          <cell r="T120">
            <v>5</v>
          </cell>
        </row>
        <row r="121">
          <cell r="A121">
            <v>9999322158</v>
          </cell>
          <cell r="B121" t="str">
            <v>65.111.08355-9</v>
          </cell>
          <cell r="C121" t="str">
            <v xml:space="preserve">CHAPA TRAVAMENTO RM4                                REV-00  </v>
          </cell>
          <cell r="D121" t="str">
            <v/>
          </cell>
          <cell r="E121" t="str">
            <v>KION IND E COM LT</v>
          </cell>
          <cell r="F121">
            <v>401</v>
          </cell>
          <cell r="G121">
            <v>43990</v>
          </cell>
          <cell r="H121">
            <v>668725</v>
          </cell>
          <cell r="I121" t="str">
            <v>K</v>
          </cell>
          <cell r="J121">
            <v>0</v>
          </cell>
          <cell r="K121">
            <v>100</v>
          </cell>
          <cell r="L121">
            <v>100</v>
          </cell>
          <cell r="O121">
            <v>100</v>
          </cell>
          <cell r="P121">
            <v>0</v>
          </cell>
          <cell r="Q121" t="str">
            <v>Trat. 15/07 - DIADEMA</v>
          </cell>
          <cell r="T121">
            <v>5</v>
          </cell>
        </row>
        <row r="122">
          <cell r="A122">
            <v>9999322165</v>
          </cell>
          <cell r="B122" t="str">
            <v>65.111.08355-9</v>
          </cell>
          <cell r="C122" t="str">
            <v xml:space="preserve">CHAPA TRAVAMENTO RM4                                REV-00  </v>
          </cell>
          <cell r="D122" t="str">
            <v/>
          </cell>
          <cell r="E122" t="str">
            <v>KION IND E COM LT</v>
          </cell>
          <cell r="F122">
            <v>401</v>
          </cell>
          <cell r="G122">
            <v>43997</v>
          </cell>
          <cell r="H122">
            <v>668725</v>
          </cell>
          <cell r="I122" t="str">
            <v>K</v>
          </cell>
          <cell r="J122">
            <v>0</v>
          </cell>
          <cell r="K122">
            <v>100</v>
          </cell>
          <cell r="L122">
            <v>100</v>
          </cell>
          <cell r="N122">
            <v>100</v>
          </cell>
          <cell r="P122">
            <v>0</v>
          </cell>
          <cell r="Q122" t="str">
            <v>Trat. 28/07 - 1470p - DIADEMA</v>
          </cell>
          <cell r="T122">
            <v>5</v>
          </cell>
        </row>
        <row r="123">
          <cell r="A123">
            <v>9999322166</v>
          </cell>
          <cell r="B123" t="str">
            <v>65.111.08355-9</v>
          </cell>
          <cell r="C123" t="str">
            <v xml:space="preserve">CHAPA TRAVAMENTO RM4                                REV-00  </v>
          </cell>
          <cell r="D123" t="str">
            <v/>
          </cell>
          <cell r="E123" t="str">
            <v>KION IND E COM LT</v>
          </cell>
          <cell r="F123">
            <v>401</v>
          </cell>
          <cell r="G123">
            <v>44011</v>
          </cell>
          <cell r="H123">
            <v>668725</v>
          </cell>
          <cell r="I123" t="str">
            <v>K</v>
          </cell>
          <cell r="J123">
            <v>0</v>
          </cell>
          <cell r="K123">
            <v>100</v>
          </cell>
          <cell r="L123">
            <v>100</v>
          </cell>
          <cell r="N123">
            <v>100</v>
          </cell>
          <cell r="P123">
            <v>0</v>
          </cell>
          <cell r="Q123" t="str">
            <v>Trat. 28/07 - DIADEMA</v>
          </cell>
          <cell r="T123">
            <v>5</v>
          </cell>
        </row>
        <row r="124">
          <cell r="A124">
            <v>9999322167</v>
          </cell>
          <cell r="B124" t="str">
            <v>65.111.08355-9</v>
          </cell>
          <cell r="C124" t="str">
            <v xml:space="preserve">CHAPA TRAVAMENTO RM4                                REV-00  </v>
          </cell>
          <cell r="D124" t="str">
            <v/>
          </cell>
          <cell r="E124" t="str">
            <v>KION IND E COM LT</v>
          </cell>
          <cell r="F124">
            <v>401</v>
          </cell>
          <cell r="G124">
            <v>44011</v>
          </cell>
          <cell r="H124">
            <v>668725</v>
          </cell>
          <cell r="I124" t="str">
            <v>K</v>
          </cell>
          <cell r="J124">
            <v>0</v>
          </cell>
          <cell r="K124">
            <v>100</v>
          </cell>
          <cell r="L124">
            <v>100</v>
          </cell>
          <cell r="N124">
            <v>100</v>
          </cell>
          <cell r="P124">
            <v>0</v>
          </cell>
          <cell r="Q124" t="str">
            <v>Trat. 28/07 - DIADEMA</v>
          </cell>
          <cell r="T124">
            <v>5</v>
          </cell>
        </row>
        <row r="125">
          <cell r="A125">
            <v>9999322168</v>
          </cell>
          <cell r="B125" t="str">
            <v>65.111.08355-9</v>
          </cell>
          <cell r="C125" t="str">
            <v xml:space="preserve">CHAPA TRAVAMENTO RM4                                REV-00  </v>
          </cell>
          <cell r="D125" t="str">
            <v/>
          </cell>
          <cell r="E125" t="str">
            <v>KION IND E COM LT</v>
          </cell>
          <cell r="F125">
            <v>401</v>
          </cell>
          <cell r="G125">
            <v>44011</v>
          </cell>
          <cell r="H125">
            <v>668725</v>
          </cell>
          <cell r="I125" t="str">
            <v>K</v>
          </cell>
          <cell r="J125">
            <v>0</v>
          </cell>
          <cell r="K125">
            <v>100</v>
          </cell>
          <cell r="L125">
            <v>100</v>
          </cell>
          <cell r="N125">
            <v>100</v>
          </cell>
          <cell r="P125">
            <v>0</v>
          </cell>
          <cell r="Q125" t="str">
            <v>Trat. 28/07 - DIADEMA</v>
          </cell>
          <cell r="T125">
            <v>5</v>
          </cell>
        </row>
        <row r="126">
          <cell r="A126">
            <v>982092331</v>
          </cell>
          <cell r="B126" t="str">
            <v>65.111.03146-6</v>
          </cell>
          <cell r="C126" t="str">
            <v>SUPT TRV GATIL MMD UBB  ROHS REV-00                 REV-01</v>
          </cell>
          <cell r="D126" t="str">
            <v/>
          </cell>
          <cell r="E126" t="str">
            <v>KION IND E COM LT</v>
          </cell>
          <cell r="F126">
            <v>401</v>
          </cell>
          <cell r="G126">
            <v>44116</v>
          </cell>
          <cell r="H126">
            <v>378015</v>
          </cell>
          <cell r="J126">
            <v>70</v>
          </cell>
          <cell r="K126">
            <v>100</v>
          </cell>
          <cell r="L126">
            <v>100</v>
          </cell>
          <cell r="P126">
            <v>100</v>
          </cell>
          <cell r="Q126" t="str">
            <v/>
          </cell>
          <cell r="S126" t="str">
            <v>DF</v>
          </cell>
          <cell r="T126" t="str">
            <v>DF</v>
          </cell>
        </row>
        <row r="127">
          <cell r="A127">
            <v>982088781</v>
          </cell>
          <cell r="B127" t="str">
            <v>65.111.03147-3</v>
          </cell>
          <cell r="C127" t="str">
            <v>GATILHO TRV MMD UBB  ROHS REV-00                    REV-01</v>
          </cell>
          <cell r="D127" t="str">
            <v/>
          </cell>
          <cell r="E127" t="str">
            <v>KION IND E COM LT</v>
          </cell>
          <cell r="F127">
            <v>401</v>
          </cell>
          <cell r="G127">
            <v>44088</v>
          </cell>
          <cell r="H127">
            <v>377860</v>
          </cell>
          <cell r="J127">
            <v>42</v>
          </cell>
          <cell r="K127">
            <v>100</v>
          </cell>
          <cell r="L127">
            <v>100</v>
          </cell>
          <cell r="P127">
            <v>100</v>
          </cell>
          <cell r="Q127" t="str">
            <v/>
          </cell>
          <cell r="S127" t="str">
            <v>DF</v>
          </cell>
          <cell r="T127" t="str">
            <v>DF</v>
          </cell>
        </row>
        <row r="128">
          <cell r="A128">
            <v>999932490</v>
          </cell>
          <cell r="B128" t="str">
            <v>65.111.08389-4</v>
          </cell>
          <cell r="C128" t="str">
            <v xml:space="preserve">SUPORTE SOLENOIDE PORTA ENTINT RM4H BB              REV-01  </v>
          </cell>
          <cell r="D128" t="str">
            <v/>
          </cell>
          <cell r="E128" t="str">
            <v>KION IND E COM LT</v>
          </cell>
          <cell r="F128">
            <v>401</v>
          </cell>
          <cell r="G128">
            <v>43997</v>
          </cell>
          <cell r="H128">
            <v>668725</v>
          </cell>
          <cell r="I128" t="str">
            <v>K</v>
          </cell>
          <cell r="J128">
            <v>0</v>
          </cell>
          <cell r="K128">
            <v>165</v>
          </cell>
          <cell r="L128">
            <v>165</v>
          </cell>
          <cell r="N128">
            <v>165</v>
          </cell>
          <cell r="P128">
            <v>0</v>
          </cell>
          <cell r="Q128" t="str">
            <v>Trat. 01/07 - DIADEMA</v>
          </cell>
          <cell r="T128">
            <v>5</v>
          </cell>
        </row>
        <row r="129">
          <cell r="A129">
            <v>999932491</v>
          </cell>
          <cell r="B129" t="str">
            <v>65.111.08389-4</v>
          </cell>
          <cell r="C129" t="str">
            <v xml:space="preserve">SUPORTE SOLENOIDE PORTA ENTINT RM4H BB              REV-01  </v>
          </cell>
          <cell r="D129" t="str">
            <v/>
          </cell>
          <cell r="E129" t="str">
            <v>KION IND E COM LT</v>
          </cell>
          <cell r="F129">
            <v>401</v>
          </cell>
          <cell r="G129">
            <v>44011</v>
          </cell>
          <cell r="H129">
            <v>668725</v>
          </cell>
          <cell r="I129" t="str">
            <v>K</v>
          </cell>
          <cell r="J129">
            <v>0</v>
          </cell>
          <cell r="K129">
            <v>100</v>
          </cell>
          <cell r="L129">
            <v>35</v>
          </cell>
          <cell r="N129">
            <v>35</v>
          </cell>
          <cell r="P129">
            <v>0</v>
          </cell>
          <cell r="Q129" t="str">
            <v/>
          </cell>
          <cell r="T129">
            <v>5</v>
          </cell>
        </row>
        <row r="130">
          <cell r="A130">
            <v>982088782</v>
          </cell>
          <cell r="B130" t="str">
            <v>65.111.03147-3</v>
          </cell>
          <cell r="C130" t="str">
            <v>GATILHO TRV MMD UBB  ROHS REV-00                    REV-01</v>
          </cell>
          <cell r="D130" t="str">
            <v/>
          </cell>
          <cell r="E130" t="str">
            <v>KION IND E COM LT</v>
          </cell>
          <cell r="F130">
            <v>401</v>
          </cell>
          <cell r="G130">
            <v>44116</v>
          </cell>
          <cell r="H130">
            <v>377860</v>
          </cell>
          <cell r="J130">
            <v>70</v>
          </cell>
          <cell r="K130">
            <v>100</v>
          </cell>
          <cell r="L130">
            <v>100</v>
          </cell>
          <cell r="P130">
            <v>100</v>
          </cell>
          <cell r="Q130" t="str">
            <v/>
          </cell>
          <cell r="S130" t="str">
            <v>DF</v>
          </cell>
          <cell r="T130" t="str">
            <v>DF</v>
          </cell>
        </row>
        <row r="131">
          <cell r="A131">
            <v>982092341</v>
          </cell>
          <cell r="B131" t="str">
            <v>65.111.03147-3</v>
          </cell>
          <cell r="C131" t="str">
            <v>GATILHO TRV MMD UBB  ROHS REV-00                    REV-01</v>
          </cell>
          <cell r="D131" t="str">
            <v/>
          </cell>
          <cell r="E131" t="str">
            <v>KION IND E COM LT</v>
          </cell>
          <cell r="F131">
            <v>401</v>
          </cell>
          <cell r="G131">
            <v>44116</v>
          </cell>
          <cell r="H131">
            <v>378015</v>
          </cell>
          <cell r="J131">
            <v>70</v>
          </cell>
          <cell r="K131">
            <v>60</v>
          </cell>
          <cell r="L131">
            <v>60</v>
          </cell>
          <cell r="P131">
            <v>60</v>
          </cell>
          <cell r="Q131" t="str">
            <v/>
          </cell>
          <cell r="S131" t="str">
            <v>DF</v>
          </cell>
          <cell r="T131" t="str">
            <v>DF</v>
          </cell>
        </row>
        <row r="132">
          <cell r="A132">
            <v>974300001</v>
          </cell>
          <cell r="B132" t="str">
            <v>65.111.03147-3</v>
          </cell>
          <cell r="C132" t="str">
            <v>GATILHO TRV MMD UBB  ROHS REV-00                    REV-01</v>
          </cell>
          <cell r="D132" t="str">
            <v/>
          </cell>
          <cell r="E132" t="str">
            <v>KION IND E COM LT</v>
          </cell>
          <cell r="F132">
            <v>401</v>
          </cell>
          <cell r="G132">
            <v>44039</v>
          </cell>
          <cell r="H132">
            <v>375976</v>
          </cell>
          <cell r="J132">
            <v>-7</v>
          </cell>
          <cell r="K132">
            <v>100</v>
          </cell>
          <cell r="L132">
            <v>100</v>
          </cell>
          <cell r="P132">
            <v>100</v>
          </cell>
          <cell r="Q132" t="str">
            <v>Trat. 28/07 - 195p - DIADEMA</v>
          </cell>
          <cell r="S132" t="str">
            <v>DF</v>
          </cell>
          <cell r="T132" t="str">
            <v>DF</v>
          </cell>
        </row>
        <row r="133">
          <cell r="A133">
            <v>999932683</v>
          </cell>
          <cell r="B133" t="str">
            <v>65.111.08401-9</v>
          </cell>
          <cell r="C133" t="str">
            <v>SUP SENS ARRANC ESQ HST ROHS                        REV-03</v>
          </cell>
          <cell r="D133" t="str">
            <v/>
          </cell>
          <cell r="E133" t="str">
            <v>KION IND E COM LT</v>
          </cell>
          <cell r="F133">
            <v>401</v>
          </cell>
          <cell r="G133">
            <v>43990</v>
          </cell>
          <cell r="H133">
            <v>668725</v>
          </cell>
          <cell r="I133" t="str">
            <v>K</v>
          </cell>
          <cell r="J133">
            <v>0</v>
          </cell>
          <cell r="K133">
            <v>100</v>
          </cell>
          <cell r="L133">
            <v>100</v>
          </cell>
          <cell r="N133">
            <v>100</v>
          </cell>
          <cell r="P133">
            <v>0</v>
          </cell>
          <cell r="Q133" t="str">
            <v>Trat. 01/07 - DIADEMA</v>
          </cell>
          <cell r="T133">
            <v>5</v>
          </cell>
        </row>
        <row r="134">
          <cell r="A134">
            <v>979109001</v>
          </cell>
          <cell r="B134" t="str">
            <v>65.111.03147-3</v>
          </cell>
          <cell r="C134" t="str">
            <v>GATILHO TRV MMD UBB  ROHS REV-00                    REV-01</v>
          </cell>
          <cell r="D134" t="str">
            <v/>
          </cell>
          <cell r="E134" t="str">
            <v>KION IND E COM LT</v>
          </cell>
          <cell r="F134">
            <v>401</v>
          </cell>
          <cell r="G134">
            <v>44088</v>
          </cell>
          <cell r="H134">
            <v>376920</v>
          </cell>
          <cell r="J134">
            <v>42</v>
          </cell>
          <cell r="K134">
            <v>100</v>
          </cell>
          <cell r="L134">
            <v>100</v>
          </cell>
          <cell r="P134">
            <v>100</v>
          </cell>
          <cell r="Q134" t="str">
            <v>Trat. 28/07 - DIADEMA</v>
          </cell>
          <cell r="S134" t="str">
            <v>DF</v>
          </cell>
          <cell r="T134" t="str">
            <v>DF</v>
          </cell>
        </row>
        <row r="135">
          <cell r="A135">
            <v>999932963</v>
          </cell>
          <cell r="B135" t="str">
            <v>65.111.08405-7</v>
          </cell>
          <cell r="C135" t="str">
            <v xml:space="preserve">SUPORTE DIR TRAVA PAINEL RM4 ROHS                   REV-00  </v>
          </cell>
          <cell r="D135" t="str">
            <v>65.110.01578-8</v>
          </cell>
          <cell r="E135" t="str">
            <v>KION IND E COM LT</v>
          </cell>
          <cell r="F135">
            <v>401</v>
          </cell>
          <cell r="G135">
            <v>44011</v>
          </cell>
          <cell r="H135">
            <v>668725</v>
          </cell>
          <cell r="I135" t="str">
            <v>K</v>
          </cell>
          <cell r="J135">
            <v>0</v>
          </cell>
          <cell r="K135">
            <v>100</v>
          </cell>
          <cell r="L135">
            <v>100</v>
          </cell>
          <cell r="O135">
            <v>100</v>
          </cell>
          <cell r="P135">
            <v>0</v>
          </cell>
          <cell r="Q135" t="str">
            <v/>
          </cell>
          <cell r="T135">
            <v>5</v>
          </cell>
        </row>
        <row r="136">
          <cell r="A136">
            <v>999932964</v>
          </cell>
          <cell r="B136" t="str">
            <v>65.111.08405-7</v>
          </cell>
          <cell r="C136" t="str">
            <v xml:space="preserve">SUPORTE DIR TRAVA PAINEL RM4 ROHS                   REV-00  </v>
          </cell>
          <cell r="D136" t="str">
            <v>65.110.01578-8</v>
          </cell>
          <cell r="E136" t="str">
            <v>KION IND E COM LT</v>
          </cell>
          <cell r="F136">
            <v>401</v>
          </cell>
          <cell r="G136">
            <v>44011</v>
          </cell>
          <cell r="H136">
            <v>668725</v>
          </cell>
          <cell r="I136" t="str">
            <v>K</v>
          </cell>
          <cell r="J136">
            <v>0</v>
          </cell>
          <cell r="K136">
            <v>100</v>
          </cell>
          <cell r="L136">
            <v>100</v>
          </cell>
          <cell r="O136">
            <v>100</v>
          </cell>
          <cell r="P136">
            <v>0</v>
          </cell>
          <cell r="Q136" t="str">
            <v/>
          </cell>
          <cell r="T136">
            <v>5</v>
          </cell>
        </row>
        <row r="137">
          <cell r="A137">
            <v>70857200432</v>
          </cell>
          <cell r="B137" t="str">
            <v>65.111.03150-3</v>
          </cell>
          <cell r="C137" t="str">
            <v>SUP SENS IMA DEP/M MD ATM TR UBB  ROHS REV-00       REV-01</v>
          </cell>
          <cell r="D137" t="str">
            <v/>
          </cell>
          <cell r="E137" t="str">
            <v>KION IND E COM LT</v>
          </cell>
          <cell r="F137">
            <v>401</v>
          </cell>
          <cell r="G137">
            <v>44025</v>
          </cell>
          <cell r="H137">
            <v>668725</v>
          </cell>
          <cell r="I137" t="str">
            <v>K</v>
          </cell>
          <cell r="J137">
            <v>-21</v>
          </cell>
          <cell r="K137">
            <v>100</v>
          </cell>
          <cell r="L137">
            <v>100</v>
          </cell>
          <cell r="P137">
            <v>100</v>
          </cell>
          <cell r="Q137" t="str">
            <v>Trat. 10/08 - 345p - DIADEMA</v>
          </cell>
          <cell r="S137" t="str">
            <v>DF</v>
          </cell>
          <cell r="T137" t="str">
            <v>DF</v>
          </cell>
        </row>
        <row r="138">
          <cell r="A138">
            <v>70857200433</v>
          </cell>
          <cell r="B138" t="str">
            <v>65.111.03150-3</v>
          </cell>
          <cell r="C138" t="str">
            <v>SUP SENS IMA DEP/M MD ATM TR UBB  ROHS REV-00       REV-01</v>
          </cell>
          <cell r="D138" t="str">
            <v/>
          </cell>
          <cell r="E138" t="str">
            <v>KION IND E COM LT</v>
          </cell>
          <cell r="F138">
            <v>401</v>
          </cell>
          <cell r="G138">
            <v>44025</v>
          </cell>
          <cell r="H138">
            <v>668725</v>
          </cell>
          <cell r="I138" t="str">
            <v>K</v>
          </cell>
          <cell r="J138">
            <v>-21</v>
          </cell>
          <cell r="K138">
            <v>100</v>
          </cell>
          <cell r="L138">
            <v>100</v>
          </cell>
          <cell r="P138">
            <v>100</v>
          </cell>
          <cell r="Q138" t="str">
            <v>Trat. 10/08 - DIADEMA</v>
          </cell>
          <cell r="S138" t="str">
            <v>DF</v>
          </cell>
          <cell r="T138" t="str">
            <v>DF</v>
          </cell>
        </row>
        <row r="139">
          <cell r="A139">
            <v>70857200434</v>
          </cell>
          <cell r="B139" t="str">
            <v>65.111.03150-3</v>
          </cell>
          <cell r="C139" t="str">
            <v>SUP SENS IMA DEP/M MD ATM TR UBB  ROHS REV-00       REV-01</v>
          </cell>
          <cell r="D139" t="str">
            <v/>
          </cell>
          <cell r="E139" t="str">
            <v>KION IND E COM LT</v>
          </cell>
          <cell r="F139">
            <v>401</v>
          </cell>
          <cell r="G139">
            <v>44025</v>
          </cell>
          <cell r="H139">
            <v>668725</v>
          </cell>
          <cell r="I139" t="str">
            <v>K</v>
          </cell>
          <cell r="J139">
            <v>-21</v>
          </cell>
          <cell r="K139">
            <v>100</v>
          </cell>
          <cell r="L139">
            <v>100</v>
          </cell>
          <cell r="P139">
            <v>100</v>
          </cell>
          <cell r="Q139" t="str">
            <v>Trat. 10/08 - DIADEMA</v>
          </cell>
          <cell r="S139" t="str">
            <v>DF</v>
          </cell>
          <cell r="T139" t="str">
            <v>DF</v>
          </cell>
        </row>
        <row r="140">
          <cell r="A140">
            <v>937937001</v>
          </cell>
          <cell r="B140" t="str">
            <v>65.111.03331-8</v>
          </cell>
          <cell r="C140" t="str">
            <v>VARAO TRAVAMENTO PAINEL DT4500                      REV-01</v>
          </cell>
          <cell r="D140" t="str">
            <v/>
          </cell>
          <cell r="E140" t="str">
            <v>KION IND E COM LT</v>
          </cell>
          <cell r="F140">
            <v>401</v>
          </cell>
          <cell r="G140">
            <v>43416</v>
          </cell>
          <cell r="H140">
            <v>368976</v>
          </cell>
          <cell r="J140">
            <v>-630</v>
          </cell>
          <cell r="K140">
            <v>20</v>
          </cell>
          <cell r="L140">
            <v>5</v>
          </cell>
          <cell r="P140">
            <v>5</v>
          </cell>
          <cell r="Q140" t="str">
            <v>OP OK</v>
          </cell>
          <cell r="T140" t="str">
            <v>S Con</v>
          </cell>
        </row>
        <row r="141">
          <cell r="A141">
            <v>979084001</v>
          </cell>
          <cell r="B141" t="str">
            <v>65.111.03350-9</v>
          </cell>
          <cell r="C141" t="str">
            <v>GUIA SUPERIOR ESQ PS 3021 NT                        REV-04</v>
          </cell>
          <cell r="D141" t="str">
            <v>29-009281-000F</v>
          </cell>
          <cell r="E141" t="str">
            <v>KION IND E COM LT</v>
          </cell>
          <cell r="F141">
            <v>401</v>
          </cell>
          <cell r="G141">
            <v>44088</v>
          </cell>
          <cell r="H141">
            <v>376920</v>
          </cell>
          <cell r="J141">
            <v>42</v>
          </cell>
          <cell r="K141">
            <v>50</v>
          </cell>
          <cell r="L141">
            <v>50</v>
          </cell>
          <cell r="P141">
            <v>50</v>
          </cell>
          <cell r="Q141" t="str">
            <v/>
          </cell>
          <cell r="S141" t="str">
            <v>DF</v>
          </cell>
          <cell r="T141" t="str">
            <v>DF</v>
          </cell>
        </row>
        <row r="142">
          <cell r="A142">
            <v>982092851</v>
          </cell>
          <cell r="B142" t="str">
            <v>65.111.03350-9</v>
          </cell>
          <cell r="C142" t="str">
            <v>GUIA SUPERIOR ESQ PS 3021 NT                        REV-04</v>
          </cell>
          <cell r="D142" t="str">
            <v>29-009281-000F</v>
          </cell>
          <cell r="E142" t="str">
            <v>KION IND E COM LT</v>
          </cell>
          <cell r="F142">
            <v>401</v>
          </cell>
          <cell r="G142">
            <v>44116</v>
          </cell>
          <cell r="H142">
            <v>378015</v>
          </cell>
          <cell r="J142">
            <v>70</v>
          </cell>
          <cell r="K142">
            <v>10</v>
          </cell>
          <cell r="L142">
            <v>10</v>
          </cell>
          <cell r="P142">
            <v>10</v>
          </cell>
          <cell r="Q142" t="str">
            <v/>
          </cell>
          <cell r="S142" t="str">
            <v>DF</v>
          </cell>
          <cell r="T142" t="str">
            <v>DF</v>
          </cell>
        </row>
        <row r="143">
          <cell r="A143">
            <v>70857800243</v>
          </cell>
          <cell r="B143" t="str">
            <v>65.111.03380-6</v>
          </cell>
          <cell r="C143" t="str">
            <v xml:space="preserve">SUP SENS ABT PNL DES NV ATM BB                      REV-05  </v>
          </cell>
          <cell r="D143" t="str">
            <v/>
          </cell>
          <cell r="E143" t="str">
            <v>KION IND E COM LT</v>
          </cell>
          <cell r="F143">
            <v>401</v>
          </cell>
          <cell r="G143">
            <v>44025</v>
          </cell>
          <cell r="H143">
            <v>668725</v>
          </cell>
          <cell r="I143" t="str">
            <v>K</v>
          </cell>
          <cell r="J143">
            <v>-21</v>
          </cell>
          <cell r="K143">
            <v>100</v>
          </cell>
          <cell r="L143">
            <v>100</v>
          </cell>
          <cell r="P143">
            <v>100</v>
          </cell>
          <cell r="Q143" t="str">
            <v>LASER 30/07 - FM</v>
          </cell>
          <cell r="S143">
            <v>44081</v>
          </cell>
          <cell r="T143">
            <v>9</v>
          </cell>
        </row>
        <row r="144">
          <cell r="A144">
            <v>202564126</v>
          </cell>
          <cell r="B144" t="str">
            <v>65.111.03429-8</v>
          </cell>
          <cell r="C144" t="str">
            <v>SUPT ROHS DISJ PAIN AC OPTEVA BR BDN                REV-01</v>
          </cell>
          <cell r="D144" t="str">
            <v/>
          </cell>
          <cell r="E144" t="str">
            <v>KION IND E COM LT</v>
          </cell>
          <cell r="F144">
            <v>401</v>
          </cell>
          <cell r="G144">
            <v>44025</v>
          </cell>
          <cell r="H144">
            <v>668725</v>
          </cell>
          <cell r="I144" t="str">
            <v>K</v>
          </cell>
          <cell r="J144">
            <v>-21</v>
          </cell>
          <cell r="K144">
            <v>100</v>
          </cell>
          <cell r="L144">
            <v>100</v>
          </cell>
          <cell r="P144">
            <v>100</v>
          </cell>
          <cell r="Q144" t="str">
            <v>Trat. 28/07 - DIADEMA</v>
          </cell>
          <cell r="R144" t="str">
            <v>10/08 - A</v>
          </cell>
          <cell r="S144">
            <v>44067</v>
          </cell>
          <cell r="T144">
            <v>7</v>
          </cell>
        </row>
        <row r="145">
          <cell r="A145">
            <v>974347001</v>
          </cell>
          <cell r="B145" t="str">
            <v>65.111.08562-3</v>
          </cell>
          <cell r="C145" t="str">
            <v xml:space="preserve">SUP FIX IMA SENSOR ABT ROHS                         REV-01  </v>
          </cell>
          <cell r="D145" t="str">
            <v/>
          </cell>
          <cell r="E145" t="str">
            <v>KION IND E COM LT</v>
          </cell>
          <cell r="F145">
            <v>401</v>
          </cell>
          <cell r="G145">
            <v>43899</v>
          </cell>
          <cell r="H145">
            <v>375976</v>
          </cell>
          <cell r="J145">
            <v>0</v>
          </cell>
          <cell r="K145">
            <v>5</v>
          </cell>
          <cell r="L145">
            <v>5</v>
          </cell>
          <cell r="N145">
            <v>5</v>
          </cell>
          <cell r="P145">
            <v>0</v>
          </cell>
          <cell r="Q145" t="str">
            <v>EST OK (10/06) - FM</v>
          </cell>
          <cell r="T145">
            <v>5</v>
          </cell>
        </row>
        <row r="146">
          <cell r="A146">
            <v>980231001</v>
          </cell>
          <cell r="B146" t="str">
            <v>65.111.08562-3</v>
          </cell>
          <cell r="C146" t="str">
            <v xml:space="preserve">SUP FIX IMA SENSOR ABT ROHS                         REV-01  </v>
          </cell>
          <cell r="D146" t="str">
            <v/>
          </cell>
          <cell r="E146" t="str">
            <v>KION IND E COM LT</v>
          </cell>
          <cell r="F146">
            <v>401</v>
          </cell>
          <cell r="G146">
            <v>44025</v>
          </cell>
          <cell r="H146">
            <v>377203</v>
          </cell>
          <cell r="J146">
            <v>0</v>
          </cell>
          <cell r="K146">
            <v>350</v>
          </cell>
          <cell r="L146">
            <v>350</v>
          </cell>
          <cell r="N146">
            <v>350</v>
          </cell>
          <cell r="P146">
            <v>0</v>
          </cell>
          <cell r="Q146" t="str">
            <v>Trat. 01/07 - 377p - DIADEMA</v>
          </cell>
          <cell r="T146">
            <v>5</v>
          </cell>
        </row>
        <row r="147">
          <cell r="A147">
            <v>202564127</v>
          </cell>
          <cell r="B147" t="str">
            <v>65.111.03429-8</v>
          </cell>
          <cell r="C147" t="str">
            <v>SUPT ROHS DISJ PAIN AC OPTEVA BR BDN                REV-01</v>
          </cell>
          <cell r="D147" t="str">
            <v/>
          </cell>
          <cell r="E147" t="str">
            <v>KION IND E COM LT</v>
          </cell>
          <cell r="F147">
            <v>401</v>
          </cell>
          <cell r="G147">
            <v>44025</v>
          </cell>
          <cell r="H147">
            <v>668725</v>
          </cell>
          <cell r="I147" t="str">
            <v>K</v>
          </cell>
          <cell r="J147">
            <v>-21</v>
          </cell>
          <cell r="K147">
            <v>100</v>
          </cell>
          <cell r="L147">
            <v>100</v>
          </cell>
          <cell r="P147">
            <v>100</v>
          </cell>
          <cell r="Q147" t="str">
            <v>Trat. 28/07 - DIADEMA</v>
          </cell>
          <cell r="R147" t="str">
            <v>10/08 - A</v>
          </cell>
          <cell r="S147">
            <v>44074</v>
          </cell>
          <cell r="T147">
            <v>8</v>
          </cell>
        </row>
        <row r="148">
          <cell r="A148">
            <v>980256001</v>
          </cell>
          <cell r="B148" t="str">
            <v>65.111.08568-5</v>
          </cell>
          <cell r="C148" t="str">
            <v xml:space="preserve">SUPORTE CABOS RM4 SUPERIOR P/ ATMR4500 C/ CHEQ      REV-00  </v>
          </cell>
          <cell r="D148" t="str">
            <v/>
          </cell>
          <cell r="E148" t="str">
            <v>KION IND E COM LT</v>
          </cell>
          <cell r="F148">
            <v>401</v>
          </cell>
          <cell r="G148">
            <v>44025</v>
          </cell>
          <cell r="H148">
            <v>377203</v>
          </cell>
          <cell r="J148">
            <v>0</v>
          </cell>
          <cell r="K148">
            <v>350</v>
          </cell>
          <cell r="L148">
            <v>30</v>
          </cell>
          <cell r="N148">
            <v>30</v>
          </cell>
          <cell r="P148">
            <v>0</v>
          </cell>
          <cell r="Q148" t="str">
            <v>Trat. 01/07 - 359p - DIADEMA</v>
          </cell>
          <cell r="T148">
            <v>5</v>
          </cell>
        </row>
        <row r="149">
          <cell r="A149">
            <v>202564128</v>
          </cell>
          <cell r="B149" t="str">
            <v>65.111.03429-8</v>
          </cell>
          <cell r="C149" t="str">
            <v>SUPT ROHS DISJ PAIN AC OPTEVA BR BDN                REV-01</v>
          </cell>
          <cell r="D149" t="str">
            <v/>
          </cell>
          <cell r="E149" t="str">
            <v>KION IND E COM LT</v>
          </cell>
          <cell r="F149">
            <v>401</v>
          </cell>
          <cell r="G149">
            <v>44025</v>
          </cell>
          <cell r="H149">
            <v>668725</v>
          </cell>
          <cell r="I149" t="str">
            <v>K</v>
          </cell>
          <cell r="J149">
            <v>-21</v>
          </cell>
          <cell r="K149">
            <v>100</v>
          </cell>
          <cell r="L149">
            <v>100</v>
          </cell>
          <cell r="P149">
            <v>100</v>
          </cell>
          <cell r="Q149" t="str">
            <v>Trat. 28/07 - DIADEMA</v>
          </cell>
          <cell r="R149" t="str">
            <v>10/08 - A</v>
          </cell>
          <cell r="S149">
            <v>44081</v>
          </cell>
          <cell r="T149">
            <v>9</v>
          </cell>
        </row>
        <row r="150">
          <cell r="A150">
            <v>202564129</v>
          </cell>
          <cell r="B150" t="str">
            <v>65.111.03429-8</v>
          </cell>
          <cell r="C150" t="str">
            <v>SUPT ROHS DISJ PAIN AC OPTEVA BR BDN                REV-01</v>
          </cell>
          <cell r="D150" t="str">
            <v/>
          </cell>
          <cell r="E150" t="str">
            <v>KION IND E COM LT</v>
          </cell>
          <cell r="F150">
            <v>401</v>
          </cell>
          <cell r="G150">
            <v>44025</v>
          </cell>
          <cell r="H150">
            <v>668725</v>
          </cell>
          <cell r="I150" t="str">
            <v>K</v>
          </cell>
          <cell r="J150">
            <v>-21</v>
          </cell>
          <cell r="K150">
            <v>100</v>
          </cell>
          <cell r="L150">
            <v>100</v>
          </cell>
          <cell r="P150">
            <v>100</v>
          </cell>
          <cell r="Q150" t="str">
            <v>Trat. 28/07 - DIADEMA</v>
          </cell>
          <cell r="R150" t="str">
            <v>10/08 - A</v>
          </cell>
          <cell r="S150">
            <v>44081</v>
          </cell>
          <cell r="T150">
            <v>9</v>
          </cell>
        </row>
        <row r="151">
          <cell r="A151">
            <v>980237001</v>
          </cell>
          <cell r="B151" t="str">
            <v>65.111.08610-7</v>
          </cell>
          <cell r="C151" t="str">
            <v xml:space="preserve">SUP TRAVA DIR PNL ATMR4500 ROHS                     REV-00  </v>
          </cell>
          <cell r="D151" t="str">
            <v>29-009678-A OU B</v>
          </cell>
          <cell r="E151" t="str">
            <v>KION IND E COM LT</v>
          </cell>
          <cell r="F151">
            <v>401</v>
          </cell>
          <cell r="G151">
            <v>44025</v>
          </cell>
          <cell r="H151">
            <v>377203</v>
          </cell>
          <cell r="J151">
            <v>0</v>
          </cell>
          <cell r="K151">
            <v>350</v>
          </cell>
          <cell r="L151">
            <v>300</v>
          </cell>
          <cell r="M151">
            <v>300</v>
          </cell>
          <cell r="P151">
            <v>0</v>
          </cell>
          <cell r="Q151" t="str">
            <v>Trat. 01/07 - 360p - DIADEMA</v>
          </cell>
          <cell r="T151">
            <v>5</v>
          </cell>
        </row>
        <row r="152">
          <cell r="A152">
            <v>202564124</v>
          </cell>
          <cell r="B152" t="str">
            <v>65.111.03429-8</v>
          </cell>
          <cell r="C152" t="str">
            <v>SUPT ROHS DISJ PAIN AC OPTEVA BR BDN                REV-01</v>
          </cell>
          <cell r="D152" t="str">
            <v/>
          </cell>
          <cell r="E152" t="str">
            <v>KION IND E COM LT</v>
          </cell>
          <cell r="F152">
            <v>401</v>
          </cell>
          <cell r="G152">
            <v>44011</v>
          </cell>
          <cell r="H152">
            <v>668725</v>
          </cell>
          <cell r="I152" t="str">
            <v>K</v>
          </cell>
          <cell r="J152">
            <v>-35</v>
          </cell>
          <cell r="K152">
            <v>100</v>
          </cell>
          <cell r="L152">
            <v>100</v>
          </cell>
          <cell r="P152">
            <v>100</v>
          </cell>
          <cell r="Q152" t="str">
            <v>coleta solicitada em 03/08</v>
          </cell>
          <cell r="S152">
            <v>44046</v>
          </cell>
          <cell r="T152">
            <v>4</v>
          </cell>
        </row>
        <row r="153">
          <cell r="A153">
            <v>202564125</v>
          </cell>
          <cell r="B153" t="str">
            <v>65.111.03429-8</v>
          </cell>
          <cell r="C153" t="str">
            <v>SUPT ROHS DISJ PAIN AC OPTEVA BR BDN                REV-01</v>
          </cell>
          <cell r="D153" t="str">
            <v/>
          </cell>
          <cell r="E153" t="str">
            <v>KION IND E COM LT</v>
          </cell>
          <cell r="F153">
            <v>401</v>
          </cell>
          <cell r="G153">
            <v>44011</v>
          </cell>
          <cell r="H153">
            <v>668725</v>
          </cell>
          <cell r="I153" t="str">
            <v>K</v>
          </cell>
          <cell r="J153">
            <v>-35</v>
          </cell>
          <cell r="K153">
            <v>100</v>
          </cell>
          <cell r="L153">
            <v>100</v>
          </cell>
          <cell r="P153">
            <v>100</v>
          </cell>
          <cell r="Q153" t="str">
            <v>coleta solicitada em 03/08</v>
          </cell>
          <cell r="S153">
            <v>44053</v>
          </cell>
          <cell r="T153">
            <v>5</v>
          </cell>
        </row>
        <row r="154">
          <cell r="A154">
            <v>980364001</v>
          </cell>
          <cell r="B154" t="str">
            <v>65.111.08748-3</v>
          </cell>
          <cell r="C154" t="str">
            <v xml:space="preserve">SUP FIX BARCODE 2D/BASE LT BIOM LUMIDIGM ROHS       REV-01  </v>
          </cell>
          <cell r="D154" t="str">
            <v/>
          </cell>
          <cell r="E154" t="str">
            <v>KION IND E COM LT</v>
          </cell>
          <cell r="F154">
            <v>401</v>
          </cell>
          <cell r="G154">
            <v>44025</v>
          </cell>
          <cell r="H154">
            <v>377203</v>
          </cell>
          <cell r="J154">
            <v>0</v>
          </cell>
          <cell r="K154">
            <v>350</v>
          </cell>
          <cell r="L154">
            <v>350</v>
          </cell>
          <cell r="N154">
            <v>350</v>
          </cell>
          <cell r="P154">
            <v>0</v>
          </cell>
          <cell r="Q154" t="str">
            <v>Trat. 06/07 - 360p - REALPOX</v>
          </cell>
          <cell r="T154">
            <v>5</v>
          </cell>
        </row>
        <row r="155">
          <cell r="A155">
            <v>963313001</v>
          </cell>
          <cell r="B155" t="str">
            <v>65.111.03473-1</v>
          </cell>
          <cell r="C155" t="str">
            <v>SUPT ROHS TRAV ESD COF 1' OPTEVA BDN                REV-01</v>
          </cell>
          <cell r="D155" t="str">
            <v/>
          </cell>
          <cell r="E155" t="str">
            <v>KION IND E COM LT</v>
          </cell>
          <cell r="F155">
            <v>401</v>
          </cell>
          <cell r="G155">
            <v>43752</v>
          </cell>
          <cell r="H155">
            <v>373969</v>
          </cell>
          <cell r="J155">
            <v>-294</v>
          </cell>
          <cell r="K155">
            <v>45</v>
          </cell>
          <cell r="L155">
            <v>45</v>
          </cell>
          <cell r="P155">
            <v>45</v>
          </cell>
          <cell r="Q155" t="str">
            <v/>
          </cell>
          <cell r="T155" t="str">
            <v>S Con</v>
          </cell>
        </row>
        <row r="156">
          <cell r="A156">
            <v>978861004</v>
          </cell>
          <cell r="B156" t="str">
            <v>65.111.08935-9</v>
          </cell>
          <cell r="C156" t="str">
            <v xml:space="preserve">TRV FERROLHO PT CF ATMR4500 BB 2019 ROHS            REV-00  </v>
          </cell>
          <cell r="D156" t="str">
            <v/>
          </cell>
          <cell r="E156" t="str">
            <v>KION IND E COM LT</v>
          </cell>
          <cell r="F156">
            <v>401</v>
          </cell>
          <cell r="G156">
            <v>44060</v>
          </cell>
          <cell r="H156">
            <v>376920</v>
          </cell>
          <cell r="J156">
            <v>0</v>
          </cell>
          <cell r="K156">
            <v>150</v>
          </cell>
          <cell r="L156">
            <v>150</v>
          </cell>
          <cell r="O156">
            <v>150</v>
          </cell>
          <cell r="P156">
            <v>0</v>
          </cell>
          <cell r="Q156" t="str">
            <v>OP 22/07 - JH</v>
          </cell>
          <cell r="T156">
            <v>5</v>
          </cell>
        </row>
        <row r="157">
          <cell r="A157">
            <v>982092211</v>
          </cell>
          <cell r="B157" t="str">
            <v>65.111.03510-9</v>
          </cell>
          <cell r="C157" t="str">
            <v xml:space="preserve">SUP GUIA K7 DEP PENT ATM NCNB  ROHS REV-00          REV-01  </v>
          </cell>
          <cell r="D157" t="str">
            <v/>
          </cell>
          <cell r="E157" t="str">
            <v>KION IND E COM LT</v>
          </cell>
          <cell r="F157">
            <v>401</v>
          </cell>
          <cell r="G157">
            <v>44046</v>
          </cell>
          <cell r="H157">
            <v>378015</v>
          </cell>
          <cell r="J157">
            <v>0</v>
          </cell>
          <cell r="K157">
            <v>10</v>
          </cell>
          <cell r="L157">
            <v>10</v>
          </cell>
          <cell r="P157">
            <v>10</v>
          </cell>
          <cell r="Q157" t="str">
            <v>material em tratamento superficial - previsão de entrega até 05/08</v>
          </cell>
          <cell r="S157" t="str">
            <v>Imediato</v>
          </cell>
          <cell r="T157">
            <v>3</v>
          </cell>
        </row>
        <row r="158">
          <cell r="A158">
            <v>982092212</v>
          </cell>
          <cell r="B158" t="str">
            <v>65.111.03510-9</v>
          </cell>
          <cell r="C158" t="str">
            <v xml:space="preserve">SUP GUIA K7 DEP PENT ATM NCNB  ROHS REV-00          REV-01  </v>
          </cell>
          <cell r="D158" t="str">
            <v/>
          </cell>
          <cell r="E158" t="str">
            <v>KION IND E COM LT</v>
          </cell>
          <cell r="F158">
            <v>401</v>
          </cell>
          <cell r="G158">
            <v>44067</v>
          </cell>
          <cell r="H158">
            <v>378015</v>
          </cell>
          <cell r="J158">
            <v>21</v>
          </cell>
          <cell r="K158">
            <v>20</v>
          </cell>
          <cell r="L158">
            <v>20</v>
          </cell>
          <cell r="P158">
            <v>20</v>
          </cell>
          <cell r="Q158" t="str">
            <v>OP 28/07 - FM</v>
          </cell>
          <cell r="S158">
            <v>44081</v>
          </cell>
          <cell r="T158">
            <v>9</v>
          </cell>
        </row>
        <row r="159">
          <cell r="A159">
            <v>201215151</v>
          </cell>
          <cell r="B159" t="str">
            <v>65.116.00452-8</v>
          </cell>
          <cell r="C159" t="str">
            <v xml:space="preserve">SHUTTER PIN DIP PR BB ASKM                          REV-01  </v>
          </cell>
          <cell r="D159" t="str">
            <v/>
          </cell>
          <cell r="E159" t="str">
            <v>KION IND E COM LT</v>
          </cell>
          <cell r="F159">
            <v>401</v>
          </cell>
          <cell r="G159">
            <v>43983</v>
          </cell>
          <cell r="H159">
            <v>668725</v>
          </cell>
          <cell r="I159" t="str">
            <v>K</v>
          </cell>
          <cell r="J159">
            <v>0</v>
          </cell>
          <cell r="K159">
            <v>100</v>
          </cell>
          <cell r="L159">
            <v>100</v>
          </cell>
          <cell r="O159">
            <v>100</v>
          </cell>
          <cell r="P159">
            <v>0</v>
          </cell>
          <cell r="Q159" t="str">
            <v>Trat. 08/07 657p - GDL</v>
          </cell>
          <cell r="T159">
            <v>5</v>
          </cell>
        </row>
        <row r="160">
          <cell r="A160">
            <v>70858500546</v>
          </cell>
          <cell r="B160" t="str">
            <v>65.111.03581-9</v>
          </cell>
          <cell r="C160" t="str">
            <v xml:space="preserve">BRACO ARTICUL ATM BIP BANESTES ROHS REV-00          REV-01  </v>
          </cell>
          <cell r="D160" t="str">
            <v/>
          </cell>
          <cell r="E160" t="str">
            <v>KION IND E COM LT</v>
          </cell>
          <cell r="F160">
            <v>401</v>
          </cell>
          <cell r="G160">
            <v>43997</v>
          </cell>
          <cell r="H160">
            <v>668725</v>
          </cell>
          <cell r="I160" t="str">
            <v>K</v>
          </cell>
          <cell r="J160">
            <v>-49</v>
          </cell>
          <cell r="K160">
            <v>100</v>
          </cell>
          <cell r="L160">
            <v>100</v>
          </cell>
          <cell r="P160">
            <v>100</v>
          </cell>
          <cell r="Q160" t="str">
            <v>Trat. 28/07 - 307p - DIADEMA</v>
          </cell>
          <cell r="S160">
            <v>44081</v>
          </cell>
          <cell r="T160">
            <v>9</v>
          </cell>
        </row>
        <row r="161">
          <cell r="A161">
            <v>70858500547</v>
          </cell>
          <cell r="B161" t="str">
            <v>65.111.03581-9</v>
          </cell>
          <cell r="C161" t="str">
            <v xml:space="preserve">BRACO ARTICUL ATM BIP BANESTES ROHS REV-00          REV-01  </v>
          </cell>
          <cell r="D161" t="str">
            <v/>
          </cell>
          <cell r="E161" t="str">
            <v>KION IND E COM LT</v>
          </cell>
          <cell r="F161">
            <v>401</v>
          </cell>
          <cell r="G161">
            <v>43997</v>
          </cell>
          <cell r="H161">
            <v>668725</v>
          </cell>
          <cell r="I161" t="str">
            <v>K</v>
          </cell>
          <cell r="J161">
            <v>-49</v>
          </cell>
          <cell r="K161">
            <v>100</v>
          </cell>
          <cell r="L161">
            <v>100</v>
          </cell>
          <cell r="P161">
            <v>100</v>
          </cell>
          <cell r="Q161" t="str">
            <v>Trat. 28/07 - DIADEMA</v>
          </cell>
          <cell r="S161">
            <v>44081</v>
          </cell>
          <cell r="T161">
            <v>9</v>
          </cell>
        </row>
        <row r="162">
          <cell r="A162">
            <v>981020001</v>
          </cell>
          <cell r="B162" t="str">
            <v>65.116.01236-3</v>
          </cell>
          <cell r="C162" t="str">
            <v xml:space="preserve">PROTECAO CABOS RECYCLING RM4                        REV-00  </v>
          </cell>
          <cell r="D162" t="str">
            <v/>
          </cell>
          <cell r="E162" t="str">
            <v>KION IND E COM LT</v>
          </cell>
          <cell r="F162">
            <v>401</v>
          </cell>
          <cell r="G162">
            <v>43997</v>
          </cell>
          <cell r="H162">
            <v>377325</v>
          </cell>
          <cell r="J162">
            <v>0</v>
          </cell>
          <cell r="K162">
            <v>15</v>
          </cell>
          <cell r="L162">
            <v>15</v>
          </cell>
          <cell r="M162">
            <v>15</v>
          </cell>
          <cell r="P162">
            <v>0</v>
          </cell>
          <cell r="Q162" t="str">
            <v>OP 25/06 - FM</v>
          </cell>
          <cell r="T162">
            <v>5</v>
          </cell>
        </row>
        <row r="163">
          <cell r="A163">
            <v>980271001</v>
          </cell>
          <cell r="B163" t="str">
            <v>65.116.01236-3</v>
          </cell>
          <cell r="C163" t="str">
            <v xml:space="preserve">PROTECAO CABOS RECYCLING RM4                        REV-00  </v>
          </cell>
          <cell r="D163" t="str">
            <v/>
          </cell>
          <cell r="E163" t="str">
            <v>KION IND E COM LT</v>
          </cell>
          <cell r="F163">
            <v>401</v>
          </cell>
          <cell r="G163">
            <v>44025</v>
          </cell>
          <cell r="H163">
            <v>377203</v>
          </cell>
          <cell r="J163">
            <v>0</v>
          </cell>
          <cell r="K163">
            <v>1400</v>
          </cell>
          <cell r="L163">
            <v>1400</v>
          </cell>
          <cell r="M163">
            <v>1400</v>
          </cell>
          <cell r="P163">
            <v>0</v>
          </cell>
          <cell r="Q163" t="str">
            <v>Trat. 13/07 -  REALPOX</v>
          </cell>
          <cell r="T163">
            <v>5</v>
          </cell>
        </row>
        <row r="164">
          <cell r="A164">
            <v>70858500548</v>
          </cell>
          <cell r="B164" t="str">
            <v>65.111.03581-9</v>
          </cell>
          <cell r="C164" t="str">
            <v xml:space="preserve">BRACO ARTICUL ATM BIP BANESTES ROHS REV-00          REV-01  </v>
          </cell>
          <cell r="D164" t="str">
            <v/>
          </cell>
          <cell r="E164" t="str">
            <v>KION IND E COM LT</v>
          </cell>
          <cell r="F164">
            <v>401</v>
          </cell>
          <cell r="G164">
            <v>43997</v>
          </cell>
          <cell r="H164">
            <v>668725</v>
          </cell>
          <cell r="I164" t="str">
            <v>K</v>
          </cell>
          <cell r="J164">
            <v>-49</v>
          </cell>
          <cell r="K164">
            <v>100</v>
          </cell>
          <cell r="L164">
            <v>100</v>
          </cell>
          <cell r="P164">
            <v>100</v>
          </cell>
          <cell r="Q164" t="str">
            <v>Trat. 28/07 - DIADEMA</v>
          </cell>
          <cell r="S164" t="str">
            <v>DF</v>
          </cell>
          <cell r="T164" t="str">
            <v>DF</v>
          </cell>
        </row>
        <row r="165">
          <cell r="A165">
            <v>70858500549</v>
          </cell>
          <cell r="B165" t="str">
            <v>65.111.03581-9</v>
          </cell>
          <cell r="C165" t="str">
            <v xml:space="preserve">BRACO ARTICUL ATM BIP BANESTES ROHS REV-00          REV-01  </v>
          </cell>
          <cell r="D165" t="str">
            <v/>
          </cell>
          <cell r="E165" t="str">
            <v>KION IND E COM LT</v>
          </cell>
          <cell r="F165">
            <v>401</v>
          </cell>
          <cell r="G165">
            <v>44025</v>
          </cell>
          <cell r="H165">
            <v>668725</v>
          </cell>
          <cell r="I165" t="str">
            <v>K</v>
          </cell>
          <cell r="J165">
            <v>-21</v>
          </cell>
          <cell r="K165">
            <v>100</v>
          </cell>
          <cell r="L165">
            <v>100</v>
          </cell>
          <cell r="P165">
            <v>100</v>
          </cell>
          <cell r="Q165" t="str">
            <v>ESTAMP. 30/07 - FM</v>
          </cell>
          <cell r="S165" t="str">
            <v>DF</v>
          </cell>
          <cell r="T165" t="str">
            <v>DF</v>
          </cell>
        </row>
        <row r="166">
          <cell r="A166">
            <v>978810002</v>
          </cell>
          <cell r="B166" t="str">
            <v>65.116.01237-0</v>
          </cell>
          <cell r="C166" t="str">
            <v>PROT CABO FLAT LAT TOUCH PCAP ROHS                  REV-00</v>
          </cell>
          <cell r="D166" t="str">
            <v/>
          </cell>
          <cell r="E166" t="str">
            <v>KION IND E COM LT</v>
          </cell>
          <cell r="F166">
            <v>401</v>
          </cell>
          <cell r="G166">
            <v>44032</v>
          </cell>
          <cell r="H166">
            <v>376920</v>
          </cell>
          <cell r="J166">
            <v>0</v>
          </cell>
          <cell r="K166">
            <v>150</v>
          </cell>
          <cell r="L166">
            <v>150</v>
          </cell>
          <cell r="M166">
            <v>150</v>
          </cell>
          <cell r="P166">
            <v>0</v>
          </cell>
          <cell r="Q166" t="str">
            <v>Trat. 01/07 - REALPOX</v>
          </cell>
          <cell r="T166">
            <v>5</v>
          </cell>
        </row>
        <row r="167">
          <cell r="A167">
            <v>70858500550</v>
          </cell>
          <cell r="B167" t="str">
            <v>65.111.03581-9</v>
          </cell>
          <cell r="C167" t="str">
            <v xml:space="preserve">BRACO ARTICUL ATM BIP BANESTES ROHS REV-00          REV-01  </v>
          </cell>
          <cell r="D167" t="str">
            <v/>
          </cell>
          <cell r="E167" t="str">
            <v>KION IND E COM LT</v>
          </cell>
          <cell r="F167">
            <v>401</v>
          </cell>
          <cell r="G167">
            <v>44025</v>
          </cell>
          <cell r="H167">
            <v>668725</v>
          </cell>
          <cell r="I167" t="str">
            <v>K</v>
          </cell>
          <cell r="J167">
            <v>-21</v>
          </cell>
          <cell r="K167">
            <v>100</v>
          </cell>
          <cell r="L167">
            <v>100</v>
          </cell>
          <cell r="P167">
            <v>100</v>
          </cell>
          <cell r="Q167" t="str">
            <v>ESTAMP. 30/07 - FM</v>
          </cell>
          <cell r="S167" t="str">
            <v>DF</v>
          </cell>
          <cell r="T167" t="str">
            <v>DF</v>
          </cell>
        </row>
        <row r="168">
          <cell r="A168">
            <v>70858500551</v>
          </cell>
          <cell r="B168" t="str">
            <v>65.111.03581-9</v>
          </cell>
          <cell r="C168" t="str">
            <v xml:space="preserve">BRACO ARTICUL ATM BIP BANESTES ROHS REV-00          REV-01  </v>
          </cell>
          <cell r="D168" t="str">
            <v/>
          </cell>
          <cell r="E168" t="str">
            <v>KION IND E COM LT</v>
          </cell>
          <cell r="F168">
            <v>401</v>
          </cell>
          <cell r="G168">
            <v>44025</v>
          </cell>
          <cell r="H168">
            <v>668725</v>
          </cell>
          <cell r="I168" t="str">
            <v>K</v>
          </cell>
          <cell r="J168">
            <v>-21</v>
          </cell>
          <cell r="K168">
            <v>100</v>
          </cell>
          <cell r="L168">
            <v>100</v>
          </cell>
          <cell r="P168">
            <v>100</v>
          </cell>
          <cell r="Q168" t="str">
            <v>ESTAMP. 30/07 - FM</v>
          </cell>
          <cell r="S168" t="str">
            <v>DF</v>
          </cell>
          <cell r="T168" t="str">
            <v>DF</v>
          </cell>
        </row>
        <row r="169">
          <cell r="A169">
            <v>982092871</v>
          </cell>
          <cell r="B169" t="str">
            <v>65.111.03687-4</v>
          </cell>
          <cell r="C169" t="str">
            <v>LATERAL DIREITA PS 3021 NT C/ IMP                   REV-03</v>
          </cell>
          <cell r="D169" t="str">
            <v>US.30.00021</v>
          </cell>
          <cell r="E169" t="str">
            <v>KION IND E COM LT</v>
          </cell>
          <cell r="F169">
            <v>401</v>
          </cell>
          <cell r="G169">
            <v>44151</v>
          </cell>
          <cell r="H169">
            <v>378015</v>
          </cell>
          <cell r="J169">
            <v>105</v>
          </cell>
          <cell r="K169">
            <v>35</v>
          </cell>
          <cell r="L169">
            <v>35</v>
          </cell>
          <cell r="P169">
            <v>35</v>
          </cell>
          <cell r="Q169" t="str">
            <v/>
          </cell>
          <cell r="S169" t="str">
            <v>DF</v>
          </cell>
          <cell r="T169" t="str">
            <v>DF</v>
          </cell>
        </row>
        <row r="170">
          <cell r="A170">
            <v>982092751</v>
          </cell>
          <cell r="B170" t="str">
            <v>65.111.03701-3</v>
          </cell>
          <cell r="C170" t="str">
            <v>SUP MCHV PT GAB AT M ABN REAL                       REV-02</v>
          </cell>
          <cell r="D170" t="str">
            <v/>
          </cell>
          <cell r="E170" t="str">
            <v>KION IND E COM LT</v>
          </cell>
          <cell r="F170">
            <v>401</v>
          </cell>
          <cell r="G170">
            <v>44116</v>
          </cell>
          <cell r="H170">
            <v>378015</v>
          </cell>
          <cell r="J170">
            <v>70</v>
          </cell>
          <cell r="K170">
            <v>30</v>
          </cell>
          <cell r="L170">
            <v>30</v>
          </cell>
          <cell r="P170">
            <v>30</v>
          </cell>
          <cell r="Q170" t="str">
            <v/>
          </cell>
          <cell r="S170" t="str">
            <v>DF</v>
          </cell>
          <cell r="T170" t="str">
            <v>DF</v>
          </cell>
        </row>
        <row r="171">
          <cell r="A171">
            <v>119828001</v>
          </cell>
          <cell r="B171" t="str">
            <v>65.111.03744-0</v>
          </cell>
          <cell r="C171" t="str">
            <v>MANCAL TRV PNL SUP TEC FAM 4500                     REV-00</v>
          </cell>
          <cell r="D171" t="str">
            <v/>
          </cell>
          <cell r="E171" t="str">
            <v>KION IND E COM LT</v>
          </cell>
          <cell r="F171">
            <v>401</v>
          </cell>
          <cell r="G171">
            <v>42289</v>
          </cell>
          <cell r="H171">
            <v>350851</v>
          </cell>
          <cell r="J171">
            <v>-1757</v>
          </cell>
          <cell r="K171">
            <v>10</v>
          </cell>
          <cell r="L171">
            <v>10</v>
          </cell>
          <cell r="P171">
            <v>10</v>
          </cell>
          <cell r="Q171">
            <v>0</v>
          </cell>
          <cell r="T171" t="str">
            <v>S Con</v>
          </cell>
        </row>
        <row r="172">
          <cell r="A172">
            <v>203620102</v>
          </cell>
          <cell r="B172" t="str">
            <v>65.110.04909-7</v>
          </cell>
          <cell r="C172" t="str">
            <v xml:space="preserve">COMPL PUSH BOTTO GAB 1/4" ROHS                      REV-00  </v>
          </cell>
          <cell r="D172" t="str">
            <v/>
          </cell>
          <cell r="E172" t="str">
            <v>KION IND E COM LT</v>
          </cell>
          <cell r="F172">
            <v>401</v>
          </cell>
          <cell r="G172">
            <v>44004</v>
          </cell>
          <cell r="H172">
            <v>668725</v>
          </cell>
          <cell r="I172" t="str">
            <v>K</v>
          </cell>
          <cell r="J172">
            <v>0</v>
          </cell>
          <cell r="K172">
            <v>100</v>
          </cell>
          <cell r="L172">
            <v>100</v>
          </cell>
          <cell r="O172">
            <v>100</v>
          </cell>
          <cell r="P172">
            <v>0</v>
          </cell>
          <cell r="Q172" t="str">
            <v>Trat. 20/07 - 665p - ZF</v>
          </cell>
          <cell r="T172">
            <v>6</v>
          </cell>
        </row>
        <row r="173">
          <cell r="A173">
            <v>203620103</v>
          </cell>
          <cell r="B173" t="str">
            <v>65.110.04909-7</v>
          </cell>
          <cell r="C173" t="str">
            <v xml:space="preserve">COMPL PUSH BOTTO GAB 1/4" ROHS                      REV-00  </v>
          </cell>
          <cell r="D173" t="str">
            <v/>
          </cell>
          <cell r="E173" t="str">
            <v>KION IND E COM LT</v>
          </cell>
          <cell r="F173">
            <v>401</v>
          </cell>
          <cell r="G173">
            <v>44004</v>
          </cell>
          <cell r="H173">
            <v>668725</v>
          </cell>
          <cell r="I173" t="str">
            <v>K</v>
          </cell>
          <cell r="J173">
            <v>0</v>
          </cell>
          <cell r="K173">
            <v>100</v>
          </cell>
          <cell r="L173">
            <v>100</v>
          </cell>
          <cell r="O173">
            <v>100</v>
          </cell>
          <cell r="P173">
            <v>0</v>
          </cell>
          <cell r="Q173" t="str">
            <v>Trat. 20/07 - ZF</v>
          </cell>
          <cell r="T173">
            <v>6</v>
          </cell>
        </row>
        <row r="174">
          <cell r="A174">
            <v>203620106</v>
          </cell>
          <cell r="B174" t="str">
            <v>65.110.04909-7</v>
          </cell>
          <cell r="C174" t="str">
            <v xml:space="preserve">COMPL PUSH BOTTO GAB 1/4" ROHS                      REV-00  </v>
          </cell>
          <cell r="D174" t="str">
            <v/>
          </cell>
          <cell r="E174" t="str">
            <v>KION IND E COM LT</v>
          </cell>
          <cell r="F174">
            <v>401</v>
          </cell>
          <cell r="G174">
            <v>44019</v>
          </cell>
          <cell r="H174">
            <v>668725</v>
          </cell>
          <cell r="I174" t="str">
            <v>K</v>
          </cell>
          <cell r="J174">
            <v>0</v>
          </cell>
          <cell r="K174">
            <v>100</v>
          </cell>
          <cell r="L174">
            <v>100</v>
          </cell>
          <cell r="N174">
            <v>100</v>
          </cell>
          <cell r="P174">
            <v>0</v>
          </cell>
          <cell r="Q174" t="str">
            <v>Trat. 20/07 - ZF</v>
          </cell>
          <cell r="T174">
            <v>6</v>
          </cell>
        </row>
        <row r="175">
          <cell r="A175">
            <v>70859300378</v>
          </cell>
          <cell r="B175" t="str">
            <v>65.111.03765-5</v>
          </cell>
          <cell r="C175" t="str">
            <v>CANALETA PROT 50MM                                  REV-01</v>
          </cell>
          <cell r="D175" t="str">
            <v/>
          </cell>
          <cell r="E175" t="str">
            <v>KION IND E COM LT</v>
          </cell>
          <cell r="F175">
            <v>401</v>
          </cell>
          <cell r="G175">
            <v>44025</v>
          </cell>
          <cell r="H175">
            <v>668725</v>
          </cell>
          <cell r="I175" t="str">
            <v>K</v>
          </cell>
          <cell r="J175">
            <v>-21</v>
          </cell>
          <cell r="K175">
            <v>100</v>
          </cell>
          <cell r="L175">
            <v>100</v>
          </cell>
          <cell r="P175">
            <v>100</v>
          </cell>
          <cell r="Q175" t="str">
            <v>EST OK - FM(28/07)</v>
          </cell>
          <cell r="S175" t="str">
            <v>DF</v>
          </cell>
          <cell r="T175" t="str">
            <v>DF</v>
          </cell>
        </row>
        <row r="176">
          <cell r="A176">
            <v>982073961</v>
          </cell>
          <cell r="B176" t="str">
            <v>65.111.04517-9</v>
          </cell>
          <cell r="C176" t="str">
            <v>CANTONEIRA "L" PORTA ABERTA OPTEVA RoHS             REV-03</v>
          </cell>
          <cell r="D176" t="str">
            <v>TEFLON 3x70x120</v>
          </cell>
          <cell r="E176" t="str">
            <v>KION IND E COM LT</v>
          </cell>
          <cell r="F176">
            <v>401</v>
          </cell>
          <cell r="G176">
            <v>44046</v>
          </cell>
          <cell r="H176">
            <v>377859</v>
          </cell>
          <cell r="J176">
            <v>0</v>
          </cell>
          <cell r="K176">
            <v>150</v>
          </cell>
          <cell r="L176">
            <v>150</v>
          </cell>
          <cell r="N176">
            <v>150</v>
          </cell>
          <cell r="P176">
            <v>0</v>
          </cell>
          <cell r="Q176" t="str">
            <v>OP 21/07 - FM</v>
          </cell>
          <cell r="T176">
            <v>6</v>
          </cell>
        </row>
        <row r="177">
          <cell r="A177">
            <v>70859300379</v>
          </cell>
          <cell r="B177" t="str">
            <v>65.111.03765-5</v>
          </cell>
          <cell r="C177" t="str">
            <v>CANALETA PROT 50MM                                  REV-01</v>
          </cell>
          <cell r="D177" t="str">
            <v/>
          </cell>
          <cell r="E177" t="str">
            <v>KION IND E COM LT</v>
          </cell>
          <cell r="F177">
            <v>401</v>
          </cell>
          <cell r="G177">
            <v>44025</v>
          </cell>
          <cell r="H177">
            <v>668725</v>
          </cell>
          <cell r="I177" t="str">
            <v>K</v>
          </cell>
          <cell r="J177">
            <v>-21</v>
          </cell>
          <cell r="K177">
            <v>100</v>
          </cell>
          <cell r="L177">
            <v>100</v>
          </cell>
          <cell r="P177">
            <v>100</v>
          </cell>
          <cell r="Q177" t="str">
            <v>EST OK - FM(28/07)</v>
          </cell>
          <cell r="S177" t="str">
            <v>DF</v>
          </cell>
          <cell r="T177" t="str">
            <v>DF</v>
          </cell>
        </row>
        <row r="178">
          <cell r="A178">
            <v>70859300380</v>
          </cell>
          <cell r="B178" t="str">
            <v>65.111.03765-5</v>
          </cell>
          <cell r="C178" t="str">
            <v>CANALETA PROT 50MM                                  REV-01</v>
          </cell>
          <cell r="D178" t="str">
            <v/>
          </cell>
          <cell r="E178" t="str">
            <v>KION IND E COM LT</v>
          </cell>
          <cell r="F178">
            <v>401</v>
          </cell>
          <cell r="G178">
            <v>44025</v>
          </cell>
          <cell r="H178">
            <v>668725</v>
          </cell>
          <cell r="I178" t="str">
            <v>K</v>
          </cell>
          <cell r="J178">
            <v>-21</v>
          </cell>
          <cell r="K178">
            <v>100</v>
          </cell>
          <cell r="L178">
            <v>100</v>
          </cell>
          <cell r="P178">
            <v>100</v>
          </cell>
          <cell r="Q178" t="str">
            <v/>
          </cell>
          <cell r="S178" t="str">
            <v>DF</v>
          </cell>
          <cell r="T178" t="str">
            <v>DF</v>
          </cell>
        </row>
        <row r="179">
          <cell r="A179">
            <v>974302001</v>
          </cell>
          <cell r="B179" t="str">
            <v>65.111.03782-2</v>
          </cell>
          <cell r="C179" t="str">
            <v>CHAPA RETENC ROHS CABOS USB COFRE                   REV-03</v>
          </cell>
          <cell r="D179" t="str">
            <v/>
          </cell>
          <cell r="E179" t="str">
            <v>KION IND E COM LT</v>
          </cell>
          <cell r="F179">
            <v>401</v>
          </cell>
          <cell r="G179">
            <v>44039</v>
          </cell>
          <cell r="H179">
            <v>375976</v>
          </cell>
          <cell r="J179">
            <v>-7</v>
          </cell>
          <cell r="K179">
            <v>100</v>
          </cell>
          <cell r="L179">
            <v>100</v>
          </cell>
          <cell r="P179">
            <v>100</v>
          </cell>
          <cell r="Q179">
            <v>0</v>
          </cell>
          <cell r="S179" t="str">
            <v>DF</v>
          </cell>
          <cell r="T179" t="str">
            <v>DF</v>
          </cell>
        </row>
        <row r="180">
          <cell r="A180">
            <v>982088791</v>
          </cell>
          <cell r="B180" t="str">
            <v>65.111.03782-2</v>
          </cell>
          <cell r="C180" t="str">
            <v>CHAPA RETENC ROHS CABOS USB COFRE                   REV-03</v>
          </cell>
          <cell r="D180" t="str">
            <v/>
          </cell>
          <cell r="E180" t="str">
            <v>KION IND E COM LT</v>
          </cell>
          <cell r="F180">
            <v>401</v>
          </cell>
          <cell r="G180">
            <v>44088</v>
          </cell>
          <cell r="H180">
            <v>377860</v>
          </cell>
          <cell r="J180">
            <v>42</v>
          </cell>
          <cell r="K180">
            <v>150</v>
          </cell>
          <cell r="L180">
            <v>150</v>
          </cell>
          <cell r="P180">
            <v>150</v>
          </cell>
          <cell r="Q180" t="str">
            <v/>
          </cell>
          <cell r="S180" t="str">
            <v>DF</v>
          </cell>
          <cell r="T180" t="str">
            <v>DF</v>
          </cell>
        </row>
        <row r="181">
          <cell r="A181">
            <v>973219004</v>
          </cell>
          <cell r="B181" t="str">
            <v>65.111.06694-5</v>
          </cell>
          <cell r="C181" t="str">
            <v>TRAVA TAMPA SCANNER TFL 2013 ROHS                   REV-00</v>
          </cell>
          <cell r="D181" t="str">
            <v/>
          </cell>
          <cell r="E181" t="str">
            <v>KION IND E COM LT</v>
          </cell>
          <cell r="F181">
            <v>401</v>
          </cell>
          <cell r="G181">
            <v>43948</v>
          </cell>
          <cell r="H181">
            <v>375805</v>
          </cell>
          <cell r="J181">
            <v>0</v>
          </cell>
          <cell r="K181">
            <v>5000</v>
          </cell>
          <cell r="L181">
            <v>5000</v>
          </cell>
          <cell r="M181">
            <v>5000</v>
          </cell>
          <cell r="P181">
            <v>0</v>
          </cell>
          <cell r="Q181" t="str">
            <v>EST OK (AGUARDANDO SALT SPRAY)</v>
          </cell>
          <cell r="T181">
            <v>6</v>
          </cell>
        </row>
        <row r="182">
          <cell r="A182">
            <v>973219005</v>
          </cell>
          <cell r="B182" t="str">
            <v>65.111.06694-5</v>
          </cell>
          <cell r="C182" t="str">
            <v>TRAVA TAMPA SCANNER TFL 2013 ROHS                   REV-00</v>
          </cell>
          <cell r="D182" t="str">
            <v/>
          </cell>
          <cell r="E182" t="str">
            <v>KION IND E COM LT</v>
          </cell>
          <cell r="F182">
            <v>401</v>
          </cell>
          <cell r="G182">
            <v>43969</v>
          </cell>
          <cell r="H182">
            <v>375805</v>
          </cell>
          <cell r="J182">
            <v>0</v>
          </cell>
          <cell r="K182">
            <v>5500</v>
          </cell>
          <cell r="L182">
            <v>5500</v>
          </cell>
          <cell r="M182">
            <v>5500</v>
          </cell>
          <cell r="P182">
            <v>0</v>
          </cell>
          <cell r="Q182" t="str">
            <v>EST OK (AGUARDANDO SALT SPRAY)</v>
          </cell>
          <cell r="T182">
            <v>6</v>
          </cell>
        </row>
        <row r="183">
          <cell r="A183">
            <v>67882001</v>
          </cell>
          <cell r="B183" t="str">
            <v>65.111.03824-5</v>
          </cell>
          <cell r="C183" t="str">
            <v xml:space="preserve">BASE IPC+AMPL UPG DEP MOT DB RIO                    REV-01  </v>
          </cell>
          <cell r="D183" t="str">
            <v/>
          </cell>
          <cell r="E183" t="str">
            <v>KION IND E COM LT</v>
          </cell>
          <cell r="F183">
            <v>401</v>
          </cell>
          <cell r="G183">
            <v>41750</v>
          </cell>
          <cell r="H183">
            <v>339867</v>
          </cell>
          <cell r="J183">
            <v>-2296</v>
          </cell>
          <cell r="K183">
            <v>5</v>
          </cell>
          <cell r="L183">
            <v>1</v>
          </cell>
          <cell r="P183">
            <v>1</v>
          </cell>
          <cell r="Q183">
            <v>0</v>
          </cell>
          <cell r="T183" t="str">
            <v>S Con</v>
          </cell>
        </row>
        <row r="184">
          <cell r="A184">
            <v>982092511</v>
          </cell>
          <cell r="B184" t="str">
            <v>65.111.03915-6</v>
          </cell>
          <cell r="C184" t="str">
            <v>HASTE APOIO PNL SP FAM4500 TR ABN                   REV-00</v>
          </cell>
          <cell r="D184" t="str">
            <v/>
          </cell>
          <cell r="E184" t="str">
            <v>KION IND E COM LT</v>
          </cell>
          <cell r="F184">
            <v>401</v>
          </cell>
          <cell r="G184">
            <v>44053</v>
          </cell>
          <cell r="H184">
            <v>378015</v>
          </cell>
          <cell r="J184">
            <v>7</v>
          </cell>
          <cell r="K184">
            <v>10</v>
          </cell>
          <cell r="L184">
            <v>10</v>
          </cell>
          <cell r="P184">
            <v>10</v>
          </cell>
          <cell r="Q184" t="str">
            <v>OP 28/07 - FM</v>
          </cell>
          <cell r="S184">
            <v>44081</v>
          </cell>
          <cell r="T184">
            <v>9</v>
          </cell>
        </row>
        <row r="185">
          <cell r="A185">
            <v>982092512</v>
          </cell>
          <cell r="B185" t="str">
            <v>65.111.03915-6</v>
          </cell>
          <cell r="C185" t="str">
            <v>HASTE APOIO PNL SP FAM4500 TR ABN                   REV-00</v>
          </cell>
          <cell r="D185" t="str">
            <v/>
          </cell>
          <cell r="E185" t="str">
            <v>KION IND E COM LT</v>
          </cell>
          <cell r="F185">
            <v>401</v>
          </cell>
          <cell r="G185">
            <v>44067</v>
          </cell>
          <cell r="H185">
            <v>378015</v>
          </cell>
          <cell r="J185">
            <v>21</v>
          </cell>
          <cell r="K185">
            <v>45</v>
          </cell>
          <cell r="L185">
            <v>45</v>
          </cell>
          <cell r="P185">
            <v>45</v>
          </cell>
          <cell r="Q185" t="str">
            <v>OP 28/07 - FM</v>
          </cell>
          <cell r="S185">
            <v>44081</v>
          </cell>
          <cell r="T185">
            <v>9</v>
          </cell>
        </row>
        <row r="186">
          <cell r="A186">
            <v>982006491</v>
          </cell>
          <cell r="B186" t="str">
            <v>65.111.08529-6</v>
          </cell>
          <cell r="C186" t="str">
            <v xml:space="preserve">TRAVA RELOCKER FECH PRINCIPAL ATMR 6750 TR ITAU     REV-00  </v>
          </cell>
          <cell r="D186" t="str">
            <v/>
          </cell>
          <cell r="E186" t="str">
            <v>KION IND E COM LT</v>
          </cell>
          <cell r="F186">
            <v>401</v>
          </cell>
          <cell r="G186">
            <v>44046</v>
          </cell>
          <cell r="H186">
            <v>377859</v>
          </cell>
          <cell r="J186">
            <v>0</v>
          </cell>
          <cell r="K186">
            <v>360</v>
          </cell>
          <cell r="L186">
            <v>360</v>
          </cell>
          <cell r="N186">
            <v>360</v>
          </cell>
          <cell r="P186">
            <v>0</v>
          </cell>
          <cell r="Q186" t="str">
            <v>Trat. 27/07 - 700p - DIADEMA</v>
          </cell>
          <cell r="T186">
            <v>6</v>
          </cell>
        </row>
        <row r="187">
          <cell r="A187">
            <v>982092471</v>
          </cell>
          <cell r="B187" t="str">
            <v>65.111.04027-3</v>
          </cell>
          <cell r="C187" t="str">
            <v xml:space="preserve">TAMPA PROT DIP 4500 ASKM                            REV-01  </v>
          </cell>
          <cell r="D187" t="str">
            <v/>
          </cell>
          <cell r="E187" t="str">
            <v>KION IND E COM LT</v>
          </cell>
          <cell r="F187">
            <v>401</v>
          </cell>
          <cell r="G187">
            <v>44053</v>
          </cell>
          <cell r="H187">
            <v>378015</v>
          </cell>
          <cell r="J187">
            <v>7</v>
          </cell>
          <cell r="K187">
            <v>10</v>
          </cell>
          <cell r="L187">
            <v>10</v>
          </cell>
          <cell r="P187">
            <v>10</v>
          </cell>
          <cell r="Q187" t="str">
            <v>OP 28/07 - FM</v>
          </cell>
          <cell r="S187">
            <v>44081</v>
          </cell>
          <cell r="T187">
            <v>9</v>
          </cell>
        </row>
        <row r="188">
          <cell r="A188">
            <v>982092472</v>
          </cell>
          <cell r="B188" t="str">
            <v>65.111.04027-3</v>
          </cell>
          <cell r="C188" t="str">
            <v xml:space="preserve">TAMPA PROT DIP 4500 ASKM                            REV-01  </v>
          </cell>
          <cell r="D188" t="str">
            <v/>
          </cell>
          <cell r="E188" t="str">
            <v>KION IND E COM LT</v>
          </cell>
          <cell r="F188">
            <v>401</v>
          </cell>
          <cell r="G188">
            <v>44067</v>
          </cell>
          <cell r="H188">
            <v>378015</v>
          </cell>
          <cell r="J188">
            <v>21</v>
          </cell>
          <cell r="K188">
            <v>45</v>
          </cell>
          <cell r="L188">
            <v>45</v>
          </cell>
          <cell r="P188">
            <v>45</v>
          </cell>
          <cell r="Q188" t="str">
            <v>OP 28/07 - FM</v>
          </cell>
          <cell r="S188">
            <v>44081</v>
          </cell>
          <cell r="T188">
            <v>9</v>
          </cell>
        </row>
        <row r="189">
          <cell r="A189">
            <v>973200003</v>
          </cell>
          <cell r="B189" t="str">
            <v>65.111.08939-7</v>
          </cell>
          <cell r="C189" t="str">
            <v xml:space="preserve">SUP CB USB 3.0 PNL FRONTAL TFL 2019 ROHS            REV-00  </v>
          </cell>
          <cell r="D189" t="str">
            <v/>
          </cell>
          <cell r="E189" t="str">
            <v>KION IND E COM LT</v>
          </cell>
          <cell r="F189">
            <v>401</v>
          </cell>
          <cell r="G189">
            <v>43948</v>
          </cell>
          <cell r="H189">
            <v>375805</v>
          </cell>
          <cell r="J189">
            <v>0</v>
          </cell>
          <cell r="K189">
            <v>2000</v>
          </cell>
          <cell r="L189">
            <v>50</v>
          </cell>
          <cell r="N189">
            <v>50</v>
          </cell>
          <cell r="P189">
            <v>0</v>
          </cell>
          <cell r="Q189" t="str">
            <v>OP 27/05 - FM</v>
          </cell>
          <cell r="T189">
            <v>6</v>
          </cell>
        </row>
        <row r="190">
          <cell r="A190">
            <v>973200004</v>
          </cell>
          <cell r="B190" t="str">
            <v>65.111.08939-7</v>
          </cell>
          <cell r="C190" t="str">
            <v xml:space="preserve">SUP CB USB 3.0 PNL FRONTAL TFL 2019 ROHS            REV-00  </v>
          </cell>
          <cell r="D190" t="str">
            <v/>
          </cell>
          <cell r="E190" t="str">
            <v>KION IND E COM LT</v>
          </cell>
          <cell r="F190">
            <v>401</v>
          </cell>
          <cell r="G190">
            <v>43969</v>
          </cell>
          <cell r="H190">
            <v>375805</v>
          </cell>
          <cell r="J190">
            <v>0</v>
          </cell>
          <cell r="K190">
            <v>1900</v>
          </cell>
          <cell r="L190">
            <v>1900</v>
          </cell>
          <cell r="O190">
            <v>1900</v>
          </cell>
          <cell r="P190">
            <v>0</v>
          </cell>
          <cell r="Q190" t="str">
            <v>Trat. 15/07 - 1950p - DIADEMA</v>
          </cell>
          <cell r="T190">
            <v>6</v>
          </cell>
        </row>
        <row r="191">
          <cell r="A191">
            <v>940352001</v>
          </cell>
          <cell r="B191" t="str">
            <v>65.111.04306-7</v>
          </cell>
          <cell r="C191" t="str">
            <v>SUPT ESQ ALCA AFD OPTEVA FR ROHS                    REV-04</v>
          </cell>
          <cell r="D191" t="str">
            <v/>
          </cell>
          <cell r="E191" t="str">
            <v>KION IND E COM LT</v>
          </cell>
          <cell r="F191">
            <v>401</v>
          </cell>
          <cell r="G191">
            <v>43472</v>
          </cell>
          <cell r="H191">
            <v>369543</v>
          </cell>
          <cell r="J191">
            <v>-574</v>
          </cell>
          <cell r="K191">
            <v>50</v>
          </cell>
          <cell r="L191">
            <v>50</v>
          </cell>
          <cell r="P191">
            <v>50</v>
          </cell>
          <cell r="Q191">
            <v>0</v>
          </cell>
          <cell r="S191" t="str">
            <v>DF</v>
          </cell>
          <cell r="T191" t="str">
            <v>DF</v>
          </cell>
        </row>
        <row r="192">
          <cell r="A192">
            <v>982006521</v>
          </cell>
          <cell r="B192" t="str">
            <v>65.111.08978-6</v>
          </cell>
          <cell r="C192" t="str">
            <v xml:space="preserve">SUPORTE FIX IMA PT COFRE ROHS                       REV-00  </v>
          </cell>
          <cell r="D192" t="str">
            <v/>
          </cell>
          <cell r="E192" t="str">
            <v>KION IND E COM LT</v>
          </cell>
          <cell r="F192">
            <v>401</v>
          </cell>
          <cell r="G192">
            <v>44046</v>
          </cell>
          <cell r="H192">
            <v>377859</v>
          </cell>
          <cell r="J192">
            <v>0</v>
          </cell>
          <cell r="K192">
            <v>360</v>
          </cell>
          <cell r="L192">
            <v>360</v>
          </cell>
          <cell r="N192">
            <v>360</v>
          </cell>
          <cell r="P192">
            <v>0</v>
          </cell>
          <cell r="Q192" t="str">
            <v>Trat. 29/07 - 370p - ZF</v>
          </cell>
          <cell r="T192">
            <v>6</v>
          </cell>
        </row>
        <row r="193">
          <cell r="A193">
            <v>982073791</v>
          </cell>
          <cell r="B193" t="str">
            <v>65.111.04306-7</v>
          </cell>
          <cell r="C193" t="str">
            <v>SUPT ESQ ALCA AFD OPTEVA FR ROHS                    REV-04</v>
          </cell>
          <cell r="D193" t="str">
            <v/>
          </cell>
          <cell r="E193" t="str">
            <v>KION IND E COM LT</v>
          </cell>
          <cell r="F193">
            <v>401</v>
          </cell>
          <cell r="G193">
            <v>44123</v>
          </cell>
          <cell r="H193">
            <v>377859</v>
          </cell>
          <cell r="J193">
            <v>77</v>
          </cell>
          <cell r="K193">
            <v>50</v>
          </cell>
          <cell r="L193">
            <v>50</v>
          </cell>
          <cell r="P193">
            <v>50</v>
          </cell>
          <cell r="Q193" t="str">
            <v/>
          </cell>
          <cell r="S193" t="str">
            <v>DF</v>
          </cell>
          <cell r="T193" t="str">
            <v>DF</v>
          </cell>
        </row>
        <row r="194">
          <cell r="A194">
            <v>982006531</v>
          </cell>
          <cell r="B194" t="str">
            <v>65.111.08983-0</v>
          </cell>
          <cell r="C194" t="str">
            <v xml:space="preserve">OMEGA STOP PUSH BUTTON RM4 CF C/ CDP15 ROHS         REV-00  </v>
          </cell>
          <cell r="D194" t="str">
            <v/>
          </cell>
          <cell r="E194" t="str">
            <v>KION IND E COM LT</v>
          </cell>
          <cell r="F194">
            <v>401</v>
          </cell>
          <cell r="G194">
            <v>44046</v>
          </cell>
          <cell r="H194">
            <v>377859</v>
          </cell>
          <cell r="J194">
            <v>0</v>
          </cell>
          <cell r="K194">
            <v>360</v>
          </cell>
          <cell r="L194">
            <v>360</v>
          </cell>
          <cell r="N194">
            <v>360</v>
          </cell>
          <cell r="P194">
            <v>0</v>
          </cell>
          <cell r="Q194" t="str">
            <v>Trat. 29/07 - 370p - ZF</v>
          </cell>
          <cell r="T194">
            <v>6</v>
          </cell>
        </row>
        <row r="195">
          <cell r="A195">
            <v>202565150</v>
          </cell>
          <cell r="B195" t="str">
            <v>65.111.04338-8</v>
          </cell>
          <cell r="C195" t="str">
            <v xml:space="preserve">SUPT FIXO CINTA CBL    ROHS             REV-01      REV-01  </v>
          </cell>
          <cell r="D195" t="str">
            <v/>
          </cell>
          <cell r="E195" t="str">
            <v>KION IND E COM LT</v>
          </cell>
          <cell r="F195">
            <v>401</v>
          </cell>
          <cell r="G195">
            <v>44025</v>
          </cell>
          <cell r="H195">
            <v>668725</v>
          </cell>
          <cell r="I195" t="str">
            <v>K</v>
          </cell>
          <cell r="J195">
            <v>-21</v>
          </cell>
          <cell r="K195">
            <v>100</v>
          </cell>
          <cell r="L195">
            <v>100</v>
          </cell>
          <cell r="P195">
            <v>100</v>
          </cell>
          <cell r="Q195" t="str">
            <v>Trat. 10/08 - 238p - DIADEMA</v>
          </cell>
          <cell r="S195" t="str">
            <v>DF</v>
          </cell>
          <cell r="T195" t="str">
            <v>DF</v>
          </cell>
        </row>
        <row r="196">
          <cell r="A196">
            <v>202565151</v>
          </cell>
          <cell r="B196" t="str">
            <v>65.111.04338-8</v>
          </cell>
          <cell r="C196" t="str">
            <v xml:space="preserve">SUPT FIXO CINTA CBL    ROHS             REV-01      REV-01  </v>
          </cell>
          <cell r="D196" t="str">
            <v/>
          </cell>
          <cell r="E196" t="str">
            <v>KION IND E COM LT</v>
          </cell>
          <cell r="F196">
            <v>401</v>
          </cell>
          <cell r="G196">
            <v>44025</v>
          </cell>
          <cell r="H196">
            <v>668725</v>
          </cell>
          <cell r="I196" t="str">
            <v>K</v>
          </cell>
          <cell r="J196">
            <v>-21</v>
          </cell>
          <cell r="K196">
            <v>100</v>
          </cell>
          <cell r="L196">
            <v>100</v>
          </cell>
          <cell r="P196">
            <v>100</v>
          </cell>
          <cell r="Q196" t="str">
            <v>Trat. 10/08 - DIADEMA</v>
          </cell>
          <cell r="S196" t="str">
            <v>DF</v>
          </cell>
          <cell r="T196" t="str">
            <v>DF</v>
          </cell>
        </row>
        <row r="197">
          <cell r="A197">
            <v>974319001</v>
          </cell>
          <cell r="B197" t="str">
            <v>65.111.04455-8</v>
          </cell>
          <cell r="C197" t="str">
            <v>SUPT IMﾃ SENS PT GAB ATM4500  ROHS    REV-03        REV-03</v>
          </cell>
          <cell r="D197" t="str">
            <v/>
          </cell>
          <cell r="E197" t="str">
            <v>KION IND E COM LT</v>
          </cell>
          <cell r="F197">
            <v>401</v>
          </cell>
          <cell r="G197">
            <v>44039</v>
          </cell>
          <cell r="H197">
            <v>375976</v>
          </cell>
          <cell r="J197">
            <v>-7</v>
          </cell>
          <cell r="K197">
            <v>100</v>
          </cell>
          <cell r="L197">
            <v>100</v>
          </cell>
          <cell r="P197">
            <v>100</v>
          </cell>
          <cell r="Q197">
            <v>0</v>
          </cell>
          <cell r="S197" t="str">
            <v>DF</v>
          </cell>
          <cell r="T197" t="str">
            <v>DF</v>
          </cell>
        </row>
        <row r="198">
          <cell r="A198">
            <v>978948001</v>
          </cell>
          <cell r="B198" t="str">
            <v>85.900.00153-5</v>
          </cell>
          <cell r="C198" t="str">
            <v xml:space="preserve">CHAPA ACO 0.3MM P/ 15" BOE HM150X01-N01 LED         REV-00  </v>
          </cell>
          <cell r="D198" t="str">
            <v/>
          </cell>
          <cell r="E198" t="str">
            <v>KION IND E COM LT</v>
          </cell>
          <cell r="F198">
            <v>401</v>
          </cell>
          <cell r="G198">
            <v>44000</v>
          </cell>
          <cell r="H198">
            <v>377203</v>
          </cell>
          <cell r="J198">
            <v>0</v>
          </cell>
          <cell r="K198">
            <v>1500</v>
          </cell>
          <cell r="L198">
            <v>1500</v>
          </cell>
          <cell r="N198">
            <v>1500</v>
          </cell>
          <cell r="P198">
            <v>0</v>
          </cell>
          <cell r="Q198" t="str">
            <v>OP 09/06 - FM</v>
          </cell>
          <cell r="T198">
            <v>6</v>
          </cell>
        </row>
        <row r="199">
          <cell r="A199">
            <v>979636001</v>
          </cell>
          <cell r="B199" t="str">
            <v>85.900.00153-5</v>
          </cell>
          <cell r="C199" t="str">
            <v xml:space="preserve">CHAPA ACO 0.3MM P/ 15" BOE HM150X01-N01 LED         REV-00  </v>
          </cell>
          <cell r="D199" t="str">
            <v/>
          </cell>
          <cell r="E199" t="str">
            <v>KION IND E COM LT</v>
          </cell>
          <cell r="F199">
            <v>401</v>
          </cell>
          <cell r="G199">
            <v>44021</v>
          </cell>
          <cell r="H199">
            <v>377056</v>
          </cell>
          <cell r="J199">
            <v>0</v>
          </cell>
          <cell r="K199">
            <v>2500</v>
          </cell>
          <cell r="L199">
            <v>2500</v>
          </cell>
          <cell r="N199">
            <v>2500</v>
          </cell>
          <cell r="P199">
            <v>0</v>
          </cell>
          <cell r="Q199" t="str">
            <v>OP PELA CARTEIRA GERAL - FM</v>
          </cell>
          <cell r="T199">
            <v>6</v>
          </cell>
        </row>
        <row r="200">
          <cell r="A200">
            <v>979110001</v>
          </cell>
          <cell r="B200" t="str">
            <v>65.111.04455-8</v>
          </cell>
          <cell r="C200" t="str">
            <v>SUPT IMﾃ SENS PT GAB ATM4500  ROHS    REV-03        REV-03</v>
          </cell>
          <cell r="D200" t="str">
            <v/>
          </cell>
          <cell r="E200" t="str">
            <v>KION IND E COM LT</v>
          </cell>
          <cell r="F200">
            <v>401</v>
          </cell>
          <cell r="G200">
            <v>44088</v>
          </cell>
          <cell r="H200">
            <v>376920</v>
          </cell>
          <cell r="J200">
            <v>42</v>
          </cell>
          <cell r="K200">
            <v>80</v>
          </cell>
          <cell r="L200">
            <v>80</v>
          </cell>
          <cell r="P200">
            <v>80</v>
          </cell>
          <cell r="Q200" t="str">
            <v/>
          </cell>
          <cell r="S200" t="str">
            <v>DF</v>
          </cell>
          <cell r="T200" t="str">
            <v>DF</v>
          </cell>
        </row>
        <row r="201">
          <cell r="A201">
            <v>982092351</v>
          </cell>
          <cell r="B201" t="str">
            <v>65.111.04455-8</v>
          </cell>
          <cell r="C201" t="str">
            <v>SUPT IMﾃ SENS PT GAB ATM4500  ROHS    REV-03        REV-03</v>
          </cell>
          <cell r="D201" t="str">
            <v/>
          </cell>
          <cell r="E201" t="str">
            <v>KION IND E COM LT</v>
          </cell>
          <cell r="F201">
            <v>401</v>
          </cell>
          <cell r="G201">
            <v>44116</v>
          </cell>
          <cell r="H201">
            <v>378015</v>
          </cell>
          <cell r="J201">
            <v>70</v>
          </cell>
          <cell r="K201">
            <v>50</v>
          </cell>
          <cell r="L201">
            <v>50</v>
          </cell>
          <cell r="P201">
            <v>50</v>
          </cell>
          <cell r="Q201" t="str">
            <v/>
          </cell>
          <cell r="S201" t="str">
            <v>DF</v>
          </cell>
          <cell r="T201" t="str">
            <v>DF</v>
          </cell>
        </row>
        <row r="202">
          <cell r="A202">
            <v>982073962</v>
          </cell>
          <cell r="B202" t="str">
            <v>65.111.04517-9</v>
          </cell>
          <cell r="C202" t="str">
            <v>CANTONEIRA "L" PORTA ABERTA OPTEVA RoHS             REV-03</v>
          </cell>
          <cell r="D202" t="str">
            <v>TEFLON 3x70x120</v>
          </cell>
          <cell r="E202" t="str">
            <v>KION IND E COM LT</v>
          </cell>
          <cell r="F202">
            <v>401</v>
          </cell>
          <cell r="G202">
            <v>44060</v>
          </cell>
          <cell r="H202">
            <v>377859</v>
          </cell>
          <cell r="J202">
            <v>14</v>
          </cell>
          <cell r="K202">
            <v>200</v>
          </cell>
          <cell r="L202">
            <v>200</v>
          </cell>
          <cell r="P202">
            <v>200</v>
          </cell>
          <cell r="Q202" t="str">
            <v>OP 21/07 - FM</v>
          </cell>
          <cell r="S202">
            <v>44060</v>
          </cell>
          <cell r="T202">
            <v>6</v>
          </cell>
        </row>
        <row r="203">
          <cell r="A203">
            <v>202562571</v>
          </cell>
          <cell r="B203" t="str">
            <v>65.110.04650-0</v>
          </cell>
          <cell r="C203" t="str">
            <v>LAMINA INOX ATERR LCD 15" DIEBOLD ROHS              REV-00</v>
          </cell>
          <cell r="D203" t="str">
            <v/>
          </cell>
          <cell r="E203" t="str">
            <v>KION IND E COM LT</v>
          </cell>
          <cell r="F203">
            <v>401</v>
          </cell>
          <cell r="G203">
            <v>43997</v>
          </cell>
          <cell r="H203">
            <v>668725</v>
          </cell>
          <cell r="I203" t="str">
            <v>K</v>
          </cell>
          <cell r="J203">
            <v>0</v>
          </cell>
          <cell r="K203">
            <v>100</v>
          </cell>
          <cell r="L203">
            <v>100</v>
          </cell>
          <cell r="N203">
            <v>100</v>
          </cell>
          <cell r="P203">
            <v>0</v>
          </cell>
          <cell r="Q203" t="str">
            <v>EST OK - VK (06/07)</v>
          </cell>
          <cell r="T203">
            <v>7</v>
          </cell>
        </row>
        <row r="204">
          <cell r="A204">
            <v>202562572</v>
          </cell>
          <cell r="B204" t="str">
            <v>65.110.04650-0</v>
          </cell>
          <cell r="C204" t="str">
            <v>LAMINA INOX ATERR LCD 15" DIEBOLD ROHS              REV-00</v>
          </cell>
          <cell r="D204" t="str">
            <v/>
          </cell>
          <cell r="E204" t="str">
            <v>KION IND E COM LT</v>
          </cell>
          <cell r="F204">
            <v>401</v>
          </cell>
          <cell r="G204">
            <v>43997</v>
          </cell>
          <cell r="H204">
            <v>668725</v>
          </cell>
          <cell r="I204" t="str">
            <v>K</v>
          </cell>
          <cell r="J204">
            <v>0</v>
          </cell>
          <cell r="K204">
            <v>100</v>
          </cell>
          <cell r="L204">
            <v>100</v>
          </cell>
          <cell r="N204">
            <v>100</v>
          </cell>
          <cell r="P204">
            <v>0</v>
          </cell>
          <cell r="Q204" t="str">
            <v>EST OK - VK (06/07)</v>
          </cell>
          <cell r="T204">
            <v>7</v>
          </cell>
        </row>
        <row r="205">
          <cell r="A205">
            <v>202562573</v>
          </cell>
          <cell r="B205" t="str">
            <v>65.110.04650-0</v>
          </cell>
          <cell r="C205" t="str">
            <v>LAMINA INOX ATERR LCD 15" DIEBOLD ROHS              REV-00</v>
          </cell>
          <cell r="D205" t="str">
            <v/>
          </cell>
          <cell r="E205" t="str">
            <v>KION IND E COM LT</v>
          </cell>
          <cell r="F205">
            <v>401</v>
          </cell>
          <cell r="G205">
            <v>43997</v>
          </cell>
          <cell r="H205">
            <v>668725</v>
          </cell>
          <cell r="I205" t="str">
            <v>K</v>
          </cell>
          <cell r="J205">
            <v>0</v>
          </cell>
          <cell r="K205">
            <v>100</v>
          </cell>
          <cell r="L205">
            <v>100</v>
          </cell>
          <cell r="N205">
            <v>100</v>
          </cell>
          <cell r="P205">
            <v>0</v>
          </cell>
          <cell r="Q205" t="str">
            <v>EST OK - VK (06/07)</v>
          </cell>
          <cell r="T205">
            <v>7</v>
          </cell>
        </row>
        <row r="206">
          <cell r="A206">
            <v>202562574</v>
          </cell>
          <cell r="B206" t="str">
            <v>65.110.04650-0</v>
          </cell>
          <cell r="C206" t="str">
            <v>LAMINA INOX ATERR LCD 15" DIEBOLD ROHS              REV-00</v>
          </cell>
          <cell r="D206" t="str">
            <v/>
          </cell>
          <cell r="E206" t="str">
            <v>KION IND E COM LT</v>
          </cell>
          <cell r="F206">
            <v>401</v>
          </cell>
          <cell r="G206">
            <v>43997</v>
          </cell>
          <cell r="H206">
            <v>668725</v>
          </cell>
          <cell r="I206" t="str">
            <v>K</v>
          </cell>
          <cell r="J206">
            <v>0</v>
          </cell>
          <cell r="K206">
            <v>100</v>
          </cell>
          <cell r="L206">
            <v>100</v>
          </cell>
          <cell r="N206">
            <v>100</v>
          </cell>
          <cell r="P206">
            <v>0</v>
          </cell>
          <cell r="Q206" t="str">
            <v>EST OK - VK (06/07)</v>
          </cell>
          <cell r="T206">
            <v>7</v>
          </cell>
        </row>
        <row r="207">
          <cell r="A207">
            <v>202562575</v>
          </cell>
          <cell r="B207" t="str">
            <v>65.110.04650-0</v>
          </cell>
          <cell r="C207" t="str">
            <v>LAMINA INOX ATERR LCD 15" DIEBOLD ROHS              REV-00</v>
          </cell>
          <cell r="D207" t="str">
            <v/>
          </cell>
          <cell r="E207" t="str">
            <v>KION IND E COM LT</v>
          </cell>
          <cell r="F207">
            <v>401</v>
          </cell>
          <cell r="G207">
            <v>43997</v>
          </cell>
          <cell r="H207">
            <v>668725</v>
          </cell>
          <cell r="I207" t="str">
            <v>K</v>
          </cell>
          <cell r="J207">
            <v>0</v>
          </cell>
          <cell r="K207">
            <v>100</v>
          </cell>
          <cell r="L207">
            <v>100</v>
          </cell>
          <cell r="N207">
            <v>100</v>
          </cell>
          <cell r="P207">
            <v>0</v>
          </cell>
          <cell r="Q207" t="str">
            <v>EST OK - VK (06/07)</v>
          </cell>
          <cell r="T207">
            <v>7</v>
          </cell>
        </row>
        <row r="208">
          <cell r="A208">
            <v>202562576</v>
          </cell>
          <cell r="B208" t="str">
            <v>65.110.04650-0</v>
          </cell>
          <cell r="C208" t="str">
            <v>LAMINA INOX ATERR LCD 15" DIEBOLD ROHS              REV-00</v>
          </cell>
          <cell r="D208" t="str">
            <v/>
          </cell>
          <cell r="E208" t="str">
            <v>KION IND E COM LT</v>
          </cell>
          <cell r="F208">
            <v>401</v>
          </cell>
          <cell r="G208">
            <v>43997</v>
          </cell>
          <cell r="H208">
            <v>668725</v>
          </cell>
          <cell r="I208" t="str">
            <v>K</v>
          </cell>
          <cell r="J208">
            <v>0</v>
          </cell>
          <cell r="K208">
            <v>100</v>
          </cell>
          <cell r="L208">
            <v>100</v>
          </cell>
          <cell r="N208">
            <v>100</v>
          </cell>
          <cell r="P208">
            <v>0</v>
          </cell>
          <cell r="Q208" t="str">
            <v>EST OK - VK (06/07)</v>
          </cell>
          <cell r="T208">
            <v>7</v>
          </cell>
        </row>
        <row r="209">
          <cell r="A209">
            <v>202562577</v>
          </cell>
          <cell r="B209" t="str">
            <v>65.110.04650-0</v>
          </cell>
          <cell r="C209" t="str">
            <v>LAMINA INOX ATERR LCD 15" DIEBOLD ROHS              REV-00</v>
          </cell>
          <cell r="D209" t="str">
            <v/>
          </cell>
          <cell r="E209" t="str">
            <v>KION IND E COM LT</v>
          </cell>
          <cell r="F209">
            <v>401</v>
          </cell>
          <cell r="G209">
            <v>44011</v>
          </cell>
          <cell r="H209">
            <v>668725</v>
          </cell>
          <cell r="I209" t="str">
            <v>K</v>
          </cell>
          <cell r="J209">
            <v>0</v>
          </cell>
          <cell r="K209">
            <v>100</v>
          </cell>
          <cell r="L209">
            <v>100</v>
          </cell>
          <cell r="N209">
            <v>100</v>
          </cell>
          <cell r="P209">
            <v>0</v>
          </cell>
          <cell r="Q209" t="str">
            <v>EST OK - VK (06/07)</v>
          </cell>
          <cell r="T209">
            <v>7</v>
          </cell>
        </row>
        <row r="210">
          <cell r="A210">
            <v>202562578</v>
          </cell>
          <cell r="B210" t="str">
            <v>65.110.04650-0</v>
          </cell>
          <cell r="C210" t="str">
            <v>LAMINA INOX ATERR LCD 15" DIEBOLD ROHS              REV-00</v>
          </cell>
          <cell r="D210" t="str">
            <v/>
          </cell>
          <cell r="E210" t="str">
            <v>KION IND E COM LT</v>
          </cell>
          <cell r="F210">
            <v>401</v>
          </cell>
          <cell r="G210">
            <v>44011</v>
          </cell>
          <cell r="H210">
            <v>668725</v>
          </cell>
          <cell r="I210" t="str">
            <v>K</v>
          </cell>
          <cell r="J210">
            <v>0</v>
          </cell>
          <cell r="K210">
            <v>100</v>
          </cell>
          <cell r="L210">
            <v>100</v>
          </cell>
          <cell r="N210">
            <v>100</v>
          </cell>
          <cell r="P210">
            <v>0</v>
          </cell>
          <cell r="Q210" t="str">
            <v>EST OK - VK (06/07)</v>
          </cell>
          <cell r="T210">
            <v>7</v>
          </cell>
        </row>
        <row r="211">
          <cell r="A211">
            <v>982092221</v>
          </cell>
          <cell r="B211" t="str">
            <v>65.111.04517-9</v>
          </cell>
          <cell r="C211" t="str">
            <v>CANTONEIRA "L" PORTA ABERTA OPTEVA RoHS             REV-03</v>
          </cell>
          <cell r="D211" t="str">
            <v>TEFLON 3x70x120</v>
          </cell>
          <cell r="E211" t="str">
            <v>KION IND E COM LT</v>
          </cell>
          <cell r="F211">
            <v>401</v>
          </cell>
          <cell r="G211">
            <v>44067</v>
          </cell>
          <cell r="H211">
            <v>378015</v>
          </cell>
          <cell r="J211">
            <v>21</v>
          </cell>
          <cell r="K211">
            <v>30</v>
          </cell>
          <cell r="L211">
            <v>30</v>
          </cell>
          <cell r="P211">
            <v>30</v>
          </cell>
          <cell r="Q211" t="str">
            <v/>
          </cell>
          <cell r="S211">
            <v>44088</v>
          </cell>
          <cell r="T211">
            <v>10</v>
          </cell>
        </row>
        <row r="212">
          <cell r="A212">
            <v>982088961</v>
          </cell>
          <cell r="B212" t="str">
            <v>65.111.04543-8</v>
          </cell>
          <cell r="C212" t="str">
            <v>SUP TRANSMISSOR ASKM TEC CEF ROHS                   REV-04</v>
          </cell>
          <cell r="D212" t="str">
            <v/>
          </cell>
          <cell r="E212" t="str">
            <v>KION IND E COM LT</v>
          </cell>
          <cell r="F212">
            <v>401</v>
          </cell>
          <cell r="G212">
            <v>44088</v>
          </cell>
          <cell r="H212">
            <v>377860</v>
          </cell>
          <cell r="J212">
            <v>42</v>
          </cell>
          <cell r="K212">
            <v>150</v>
          </cell>
          <cell r="L212">
            <v>150</v>
          </cell>
          <cell r="P212">
            <v>150</v>
          </cell>
          <cell r="Q212" t="str">
            <v/>
          </cell>
          <cell r="S212" t="str">
            <v>DF</v>
          </cell>
          <cell r="T212" t="str">
            <v>DF</v>
          </cell>
        </row>
        <row r="213">
          <cell r="A213">
            <v>974307001</v>
          </cell>
          <cell r="B213" t="str">
            <v>65.111.04573-5</v>
          </cell>
          <cell r="C213" t="str">
            <v>ENCAIXE DIR PNL INF MET ATM4500 CEF ROHS            REV-01</v>
          </cell>
          <cell r="D213" t="str">
            <v/>
          </cell>
          <cell r="E213" t="str">
            <v>KION IND E COM LT</v>
          </cell>
          <cell r="F213">
            <v>401</v>
          </cell>
          <cell r="G213">
            <v>44039</v>
          </cell>
          <cell r="H213">
            <v>375976</v>
          </cell>
          <cell r="J213">
            <v>-7</v>
          </cell>
          <cell r="K213">
            <v>200</v>
          </cell>
          <cell r="L213">
            <v>200</v>
          </cell>
          <cell r="P213">
            <v>200</v>
          </cell>
          <cell r="Q213" t="str">
            <v>Trat. 08/07 - 200p - GDL</v>
          </cell>
          <cell r="S213">
            <v>44081</v>
          </cell>
          <cell r="T213">
            <v>9</v>
          </cell>
        </row>
        <row r="214">
          <cell r="A214">
            <v>979091001</v>
          </cell>
          <cell r="B214" t="str">
            <v>65.111.04573-5</v>
          </cell>
          <cell r="C214" t="str">
            <v>ENCAIXE DIR PNL INF MET ATM4500 CEF ROHS            REV-01</v>
          </cell>
          <cell r="D214" t="str">
            <v/>
          </cell>
          <cell r="E214" t="str">
            <v>KION IND E COM LT</v>
          </cell>
          <cell r="F214">
            <v>401</v>
          </cell>
          <cell r="G214">
            <v>44088</v>
          </cell>
          <cell r="H214">
            <v>376920</v>
          </cell>
          <cell r="J214">
            <v>42</v>
          </cell>
          <cell r="K214">
            <v>80</v>
          </cell>
          <cell r="L214">
            <v>80</v>
          </cell>
          <cell r="P214">
            <v>80</v>
          </cell>
          <cell r="Q214" t="str">
            <v/>
          </cell>
          <cell r="S214" t="str">
            <v>DF</v>
          </cell>
          <cell r="T214" t="str">
            <v>DF</v>
          </cell>
        </row>
        <row r="215">
          <cell r="A215">
            <v>982092621</v>
          </cell>
          <cell r="B215" t="str">
            <v>65.111.04573-5</v>
          </cell>
          <cell r="C215" t="str">
            <v>ENCAIXE DIR PNL INF MET ATM4500 CEF ROHS            REV-01</v>
          </cell>
          <cell r="D215" t="str">
            <v/>
          </cell>
          <cell r="E215" t="str">
            <v>KION IND E COM LT</v>
          </cell>
          <cell r="F215">
            <v>401</v>
          </cell>
          <cell r="G215">
            <v>44116</v>
          </cell>
          <cell r="H215">
            <v>378015</v>
          </cell>
          <cell r="J215">
            <v>70</v>
          </cell>
          <cell r="K215">
            <v>50</v>
          </cell>
          <cell r="L215">
            <v>50</v>
          </cell>
          <cell r="P215">
            <v>50</v>
          </cell>
          <cell r="Q215" t="str">
            <v/>
          </cell>
          <cell r="S215" t="str">
            <v>DF</v>
          </cell>
          <cell r="T215" t="str">
            <v>DF</v>
          </cell>
        </row>
        <row r="216">
          <cell r="A216">
            <v>979092001</v>
          </cell>
          <cell r="B216" t="str">
            <v>65.111.04574-2</v>
          </cell>
          <cell r="C216" t="str">
            <v>ENCAIXE ESQ PNL INF MET ATM4500 CEF ROHS            REV-01</v>
          </cell>
          <cell r="D216" t="str">
            <v/>
          </cell>
          <cell r="E216" t="str">
            <v>KION IND E COM LT</v>
          </cell>
          <cell r="F216">
            <v>401</v>
          </cell>
          <cell r="G216">
            <v>44088</v>
          </cell>
          <cell r="H216">
            <v>376920</v>
          </cell>
          <cell r="J216">
            <v>42</v>
          </cell>
          <cell r="K216">
            <v>70</v>
          </cell>
          <cell r="L216">
            <v>70</v>
          </cell>
          <cell r="P216">
            <v>70</v>
          </cell>
          <cell r="Q216" t="str">
            <v/>
          </cell>
          <cell r="S216" t="str">
            <v>DF</v>
          </cell>
          <cell r="T216" t="str">
            <v>DF</v>
          </cell>
        </row>
        <row r="217">
          <cell r="A217">
            <v>982092631</v>
          </cell>
          <cell r="B217" t="str">
            <v>65.111.04574-2</v>
          </cell>
          <cell r="C217" t="str">
            <v>ENCAIXE ESQ PNL INF MET ATM4500 CEF ROHS            REV-01</v>
          </cell>
          <cell r="D217" t="str">
            <v/>
          </cell>
          <cell r="E217" t="str">
            <v>KION IND E COM LT</v>
          </cell>
          <cell r="F217">
            <v>401</v>
          </cell>
          <cell r="G217">
            <v>44116</v>
          </cell>
          <cell r="H217">
            <v>378015</v>
          </cell>
          <cell r="J217">
            <v>70</v>
          </cell>
          <cell r="K217">
            <v>60</v>
          </cell>
          <cell r="L217">
            <v>60</v>
          </cell>
          <cell r="P217">
            <v>60</v>
          </cell>
          <cell r="Q217" t="str">
            <v/>
          </cell>
          <cell r="S217" t="str">
            <v>DF</v>
          </cell>
          <cell r="T217" t="str">
            <v>DF</v>
          </cell>
        </row>
        <row r="218">
          <cell r="A218">
            <v>982092681</v>
          </cell>
          <cell r="B218" t="str">
            <v>65.111.04703-8</v>
          </cell>
          <cell r="C218" t="str">
            <v xml:space="preserve">TRAVA TRINCO DEPOSITARIO ROHS                       REV-02  </v>
          </cell>
          <cell r="D218" t="str">
            <v/>
          </cell>
          <cell r="E218" t="str">
            <v>KION IND E COM LT</v>
          </cell>
          <cell r="F218">
            <v>401</v>
          </cell>
          <cell r="G218">
            <v>44116</v>
          </cell>
          <cell r="H218">
            <v>378015</v>
          </cell>
          <cell r="J218">
            <v>70</v>
          </cell>
          <cell r="K218">
            <v>60</v>
          </cell>
          <cell r="L218">
            <v>60</v>
          </cell>
          <cell r="P218">
            <v>60</v>
          </cell>
          <cell r="Q218" t="str">
            <v/>
          </cell>
          <cell r="S218" t="str">
            <v>DF</v>
          </cell>
          <cell r="T218" t="str">
            <v>DF</v>
          </cell>
        </row>
        <row r="219">
          <cell r="A219">
            <v>956931002</v>
          </cell>
          <cell r="B219" t="str">
            <v>65.111.05941-7</v>
          </cell>
          <cell r="C219" t="str">
            <v xml:space="preserve">STOP FERROLHO GAB OPTEVA FULL TR ITAU               REV-00  </v>
          </cell>
          <cell r="D219" t="str">
            <v/>
          </cell>
          <cell r="E219" t="str">
            <v>KION IND E COM LT</v>
          </cell>
          <cell r="F219">
            <v>401</v>
          </cell>
          <cell r="G219">
            <v>43710</v>
          </cell>
          <cell r="H219">
            <v>372737</v>
          </cell>
          <cell r="J219">
            <v>0</v>
          </cell>
          <cell r="K219">
            <v>500</v>
          </cell>
          <cell r="L219">
            <v>500</v>
          </cell>
          <cell r="O219">
            <v>500</v>
          </cell>
          <cell r="P219">
            <v>0</v>
          </cell>
          <cell r="Q219" t="str">
            <v>trat. 08/07 - 485p - GDL</v>
          </cell>
          <cell r="T219">
            <v>7</v>
          </cell>
        </row>
        <row r="220">
          <cell r="A220">
            <v>937990001</v>
          </cell>
          <cell r="B220" t="str">
            <v>65.111.04728-1</v>
          </cell>
          <cell r="C220" t="str">
            <v>SUPORTE FIX KIT DEP TDE4500SL RL                    REV-00</v>
          </cell>
          <cell r="D220" t="str">
            <v/>
          </cell>
          <cell r="E220" t="str">
            <v>KION IND E COM LT</v>
          </cell>
          <cell r="F220">
            <v>401</v>
          </cell>
          <cell r="G220">
            <v>43416</v>
          </cell>
          <cell r="H220">
            <v>368976</v>
          </cell>
          <cell r="J220">
            <v>-630</v>
          </cell>
          <cell r="K220">
            <v>142</v>
          </cell>
          <cell r="L220">
            <v>2</v>
          </cell>
          <cell r="P220">
            <v>2</v>
          </cell>
          <cell r="Q220">
            <v>0</v>
          </cell>
          <cell r="T220" t="str">
            <v>S Con</v>
          </cell>
        </row>
        <row r="221">
          <cell r="A221">
            <v>202574189</v>
          </cell>
          <cell r="B221" t="str">
            <v>65.111.06482-6</v>
          </cell>
          <cell r="C221" t="str">
            <v xml:space="preserve">CHASSI DIP C/ FIX LAT ROHS                          REV-01  </v>
          </cell>
          <cell r="D221" t="str">
            <v>29-009105-000J</v>
          </cell>
          <cell r="E221" t="str">
            <v>KION IND E COM LT</v>
          </cell>
          <cell r="F221">
            <v>401</v>
          </cell>
          <cell r="G221">
            <v>43983</v>
          </cell>
          <cell r="H221">
            <v>668725</v>
          </cell>
          <cell r="I221" t="str">
            <v>K</v>
          </cell>
          <cell r="J221">
            <v>0</v>
          </cell>
          <cell r="K221">
            <v>100</v>
          </cell>
          <cell r="L221">
            <v>100</v>
          </cell>
          <cell r="O221">
            <v>100</v>
          </cell>
          <cell r="P221">
            <v>0</v>
          </cell>
          <cell r="Q221" t="str">
            <v>Trat. 15/07 - 408p - DIADEMA</v>
          </cell>
          <cell r="T221">
            <v>7</v>
          </cell>
        </row>
        <row r="222">
          <cell r="A222">
            <v>202574190</v>
          </cell>
          <cell r="B222" t="str">
            <v>65.111.06482-6</v>
          </cell>
          <cell r="C222" t="str">
            <v xml:space="preserve">CHASSI DIP C/ FIX LAT ROHS                          REV-01  </v>
          </cell>
          <cell r="D222" t="str">
            <v>29-009105-000J</v>
          </cell>
          <cell r="E222" t="str">
            <v>KION IND E COM LT</v>
          </cell>
          <cell r="F222">
            <v>401</v>
          </cell>
          <cell r="G222">
            <v>43983</v>
          </cell>
          <cell r="H222">
            <v>668725</v>
          </cell>
          <cell r="I222" t="str">
            <v>K</v>
          </cell>
          <cell r="J222">
            <v>0</v>
          </cell>
          <cell r="K222">
            <v>100</v>
          </cell>
          <cell r="L222">
            <v>100</v>
          </cell>
          <cell r="O222">
            <v>100</v>
          </cell>
          <cell r="P222">
            <v>0</v>
          </cell>
          <cell r="Q222" t="str">
            <v>Trat. 15/07 - DIADEMA</v>
          </cell>
          <cell r="T222">
            <v>7</v>
          </cell>
        </row>
        <row r="223">
          <cell r="A223">
            <v>202574191</v>
          </cell>
          <cell r="B223" t="str">
            <v>65.111.06482-6</v>
          </cell>
          <cell r="C223" t="str">
            <v xml:space="preserve">CHASSI DIP C/ FIX LAT ROHS                          REV-01  </v>
          </cell>
          <cell r="D223" t="str">
            <v>29-009105-000J</v>
          </cell>
          <cell r="E223" t="str">
            <v>KION IND E COM LT</v>
          </cell>
          <cell r="F223">
            <v>401</v>
          </cell>
          <cell r="G223">
            <v>43997</v>
          </cell>
          <cell r="H223">
            <v>668725</v>
          </cell>
          <cell r="I223" t="str">
            <v>K</v>
          </cell>
          <cell r="J223">
            <v>0</v>
          </cell>
          <cell r="K223">
            <v>100</v>
          </cell>
          <cell r="L223">
            <v>100</v>
          </cell>
          <cell r="O223">
            <v>100</v>
          </cell>
          <cell r="P223">
            <v>0</v>
          </cell>
          <cell r="Q223" t="str">
            <v>Trat. 15/07 - DIADEMA</v>
          </cell>
          <cell r="T223">
            <v>7</v>
          </cell>
        </row>
        <row r="224">
          <cell r="A224">
            <v>961231002</v>
          </cell>
          <cell r="B224" t="str">
            <v>65.111.04908-9</v>
          </cell>
          <cell r="C224" t="str">
            <v xml:space="preserve">CJ CHAPA PROT ROHS TR INF DEP PENTASIS              REV-04  </v>
          </cell>
          <cell r="D224" t="str">
            <v/>
          </cell>
          <cell r="E224" t="str">
            <v>KION IND E COM LT</v>
          </cell>
          <cell r="F224">
            <v>401</v>
          </cell>
          <cell r="G224">
            <v>43759</v>
          </cell>
          <cell r="H224">
            <v>373478</v>
          </cell>
          <cell r="J224">
            <v>-287</v>
          </cell>
          <cell r="K224">
            <v>110</v>
          </cell>
          <cell r="L224">
            <v>2</v>
          </cell>
          <cell r="P224">
            <v>2</v>
          </cell>
          <cell r="Q224" t="str">
            <v>OP 10/06 - FM</v>
          </cell>
          <cell r="S224" t="str">
            <v>DF</v>
          </cell>
          <cell r="T224" t="str">
            <v>DF</v>
          </cell>
        </row>
        <row r="225">
          <cell r="A225">
            <v>982073971</v>
          </cell>
          <cell r="B225" t="str">
            <v>65.111.06595-9</v>
          </cell>
          <cell r="C225" t="str">
            <v xml:space="preserve">TRAVA FERROLHO PT TDE4500 SLIM ROHS                 REV-01  </v>
          </cell>
          <cell r="D225" t="str">
            <v/>
          </cell>
          <cell r="E225" t="str">
            <v>KION IND E COM LT</v>
          </cell>
          <cell r="F225">
            <v>401</v>
          </cell>
          <cell r="G225">
            <v>44046</v>
          </cell>
          <cell r="H225">
            <v>377859</v>
          </cell>
          <cell r="J225">
            <v>0</v>
          </cell>
          <cell r="K225">
            <v>150</v>
          </cell>
          <cell r="L225">
            <v>150</v>
          </cell>
          <cell r="N225">
            <v>150</v>
          </cell>
          <cell r="P225">
            <v>0</v>
          </cell>
          <cell r="Q225" t="str">
            <v>Trat. 30/07 - 356p - ZF</v>
          </cell>
          <cell r="T225">
            <v>7</v>
          </cell>
        </row>
        <row r="226">
          <cell r="A226">
            <v>20266861</v>
          </cell>
          <cell r="B226" t="str">
            <v>65.111.05165-9</v>
          </cell>
          <cell r="C226" t="str">
            <v xml:space="preserve">SUP CAR SENSOR S3 PS3021 NT XL ROHS                 REV-00  </v>
          </cell>
          <cell r="D226" t="str">
            <v/>
          </cell>
          <cell r="E226" t="str">
            <v>KION IND E COM LT</v>
          </cell>
          <cell r="F226">
            <v>401</v>
          </cell>
          <cell r="G226">
            <v>44025</v>
          </cell>
          <cell r="H226">
            <v>668725</v>
          </cell>
          <cell r="I226" t="str">
            <v>K</v>
          </cell>
          <cell r="J226">
            <v>-21</v>
          </cell>
          <cell r="K226">
            <v>30</v>
          </cell>
          <cell r="L226">
            <v>30</v>
          </cell>
          <cell r="P226">
            <v>30</v>
          </cell>
          <cell r="Q226" t="str">
            <v>LASER 30/07 - FM</v>
          </cell>
          <cell r="S226">
            <v>44081</v>
          </cell>
          <cell r="T226">
            <v>9</v>
          </cell>
        </row>
        <row r="227">
          <cell r="A227">
            <v>982074581</v>
          </cell>
          <cell r="B227" t="str">
            <v>65.111.06717-7</v>
          </cell>
          <cell r="C227" t="str">
            <v xml:space="preserve">SUPORTE ART TMP IMP ROHS                            REV-00  </v>
          </cell>
          <cell r="D227" t="str">
            <v/>
          </cell>
          <cell r="E227" t="str">
            <v>KION IND E COM LT</v>
          </cell>
          <cell r="F227">
            <v>401</v>
          </cell>
          <cell r="G227">
            <v>44046</v>
          </cell>
          <cell r="H227">
            <v>377859</v>
          </cell>
          <cell r="J227">
            <v>0</v>
          </cell>
          <cell r="K227">
            <v>150</v>
          </cell>
          <cell r="L227">
            <v>150</v>
          </cell>
          <cell r="N227">
            <v>150</v>
          </cell>
          <cell r="P227">
            <v>0</v>
          </cell>
          <cell r="Q227" t="str">
            <v>Trat. 29/07 - 349p - ZF</v>
          </cell>
          <cell r="T227">
            <v>7</v>
          </cell>
        </row>
        <row r="228">
          <cell r="A228">
            <v>143197001</v>
          </cell>
          <cell r="B228" t="str">
            <v>65.111.05219-5</v>
          </cell>
          <cell r="C228" t="str">
            <v xml:space="preserve">SUPT SENS AFD POSIC OPTEVA TR FULL BDN COM CDP ROHS REV-01  </v>
          </cell>
          <cell r="D228" t="str">
            <v/>
          </cell>
          <cell r="E228" t="str">
            <v>KION IND E COM LT</v>
          </cell>
          <cell r="F228">
            <v>401</v>
          </cell>
          <cell r="G228">
            <v>42611</v>
          </cell>
          <cell r="H228">
            <v>356085</v>
          </cell>
          <cell r="J228">
            <v>-1435</v>
          </cell>
          <cell r="K228">
            <v>500</v>
          </cell>
          <cell r="L228">
            <v>32</v>
          </cell>
          <cell r="P228">
            <v>32</v>
          </cell>
          <cell r="Q228">
            <v>0</v>
          </cell>
          <cell r="T228" t="str">
            <v>S Con</v>
          </cell>
        </row>
        <row r="229">
          <cell r="A229">
            <v>982074681</v>
          </cell>
          <cell r="B229" t="str">
            <v>65.111.06731-3</v>
          </cell>
          <cell r="C229" t="str">
            <v xml:space="preserve">COMP DIR BRAﾇO ARTIC PAIN SUP ROHS                  REV-00  </v>
          </cell>
          <cell r="D229" t="str">
            <v/>
          </cell>
          <cell r="E229" t="str">
            <v>KION IND E COM LT</v>
          </cell>
          <cell r="F229">
            <v>401</v>
          </cell>
          <cell r="G229">
            <v>44046</v>
          </cell>
          <cell r="H229">
            <v>377859</v>
          </cell>
          <cell r="J229">
            <v>0</v>
          </cell>
          <cell r="K229">
            <v>150</v>
          </cell>
          <cell r="L229">
            <v>150</v>
          </cell>
          <cell r="N229">
            <v>150</v>
          </cell>
          <cell r="P229">
            <v>0</v>
          </cell>
          <cell r="Q229" t="str">
            <v>Trat. 28/07 - 359p - DIADEMA</v>
          </cell>
          <cell r="T229">
            <v>7</v>
          </cell>
        </row>
        <row r="230">
          <cell r="A230">
            <v>982074272</v>
          </cell>
          <cell r="B230" t="str">
            <v>65.111.05288-1</v>
          </cell>
          <cell r="C230" t="str">
            <v xml:space="preserve">SUPT FIX TOM AC NBR 14136+CN UML NOBREAK ROHS       REV-00  </v>
          </cell>
          <cell r="D230" t="str">
            <v/>
          </cell>
          <cell r="E230" t="str">
            <v>KION IND E COM LT</v>
          </cell>
          <cell r="F230">
            <v>401</v>
          </cell>
          <cell r="G230">
            <v>44067</v>
          </cell>
          <cell r="H230">
            <v>377859</v>
          </cell>
          <cell r="J230">
            <v>21</v>
          </cell>
          <cell r="K230">
            <v>100</v>
          </cell>
          <cell r="L230">
            <v>100</v>
          </cell>
          <cell r="P230">
            <v>100</v>
          </cell>
          <cell r="Q230" t="str">
            <v>Trat. 03/08 - DIADEMA</v>
          </cell>
          <cell r="S230">
            <v>44081</v>
          </cell>
          <cell r="T230">
            <v>9</v>
          </cell>
        </row>
        <row r="231">
          <cell r="A231">
            <v>982074691</v>
          </cell>
          <cell r="B231" t="str">
            <v>65.111.06732-0</v>
          </cell>
          <cell r="C231" t="str">
            <v xml:space="preserve">COMP ESQ BRAﾇO ARTIC PAIN SUP ROHS                  REV-00  </v>
          </cell>
          <cell r="D231" t="str">
            <v/>
          </cell>
          <cell r="E231" t="str">
            <v>KION IND E COM LT</v>
          </cell>
          <cell r="F231">
            <v>401</v>
          </cell>
          <cell r="G231">
            <v>44046</v>
          </cell>
          <cell r="H231">
            <v>377859</v>
          </cell>
          <cell r="J231">
            <v>0</v>
          </cell>
          <cell r="K231">
            <v>150</v>
          </cell>
          <cell r="L231">
            <v>150</v>
          </cell>
          <cell r="N231">
            <v>150</v>
          </cell>
          <cell r="P231">
            <v>0</v>
          </cell>
          <cell r="Q231" t="str">
            <v>Trat. 28/07 - 348p - DIADEMA</v>
          </cell>
          <cell r="T231">
            <v>7</v>
          </cell>
        </row>
        <row r="232">
          <cell r="A232">
            <v>982074271</v>
          </cell>
          <cell r="B232" t="str">
            <v>65.111.05288-1</v>
          </cell>
          <cell r="C232" t="str">
            <v xml:space="preserve">SUPT FIX TOM AC NBR 14136+CN UML NOBREAK ROHS       REV-00  </v>
          </cell>
          <cell r="D232" t="str">
            <v/>
          </cell>
          <cell r="E232" t="str">
            <v>KION IND E COM LT</v>
          </cell>
          <cell r="F232">
            <v>401</v>
          </cell>
          <cell r="G232">
            <v>44046</v>
          </cell>
          <cell r="H232">
            <v>377859</v>
          </cell>
          <cell r="J232">
            <v>0</v>
          </cell>
          <cell r="K232">
            <v>150</v>
          </cell>
          <cell r="L232">
            <v>150</v>
          </cell>
          <cell r="P232">
            <v>150</v>
          </cell>
          <cell r="Q232" t="str">
            <v>material em tratamento superficial - previsão de entrega até 07/08</v>
          </cell>
          <cell r="S232">
            <v>44046</v>
          </cell>
          <cell r="T232">
            <v>4</v>
          </cell>
        </row>
        <row r="233">
          <cell r="A233">
            <v>974303001</v>
          </cell>
          <cell r="B233" t="str">
            <v>65.111.05299-7</v>
          </cell>
          <cell r="C233" t="str">
            <v xml:space="preserve">SUP CHV LG/DESL 2 TOM IEC/NBR14136 ROHS             REV-08  </v>
          </cell>
          <cell r="D233" t="str">
            <v>29-008851-000A</v>
          </cell>
          <cell r="E233" t="str">
            <v>KION IND E COM LT</v>
          </cell>
          <cell r="F233">
            <v>401</v>
          </cell>
          <cell r="G233">
            <v>44039</v>
          </cell>
          <cell r="H233">
            <v>375976</v>
          </cell>
          <cell r="J233">
            <v>-7</v>
          </cell>
          <cell r="K233">
            <v>100</v>
          </cell>
          <cell r="L233">
            <v>100</v>
          </cell>
          <cell r="P233">
            <v>100</v>
          </cell>
          <cell r="Q233" t="str">
            <v/>
          </cell>
          <cell r="S233">
            <v>44081</v>
          </cell>
          <cell r="T233">
            <v>9</v>
          </cell>
        </row>
        <row r="234">
          <cell r="A234">
            <v>979115001</v>
          </cell>
          <cell r="B234" t="str">
            <v>65.111.05299-7</v>
          </cell>
          <cell r="C234" t="str">
            <v xml:space="preserve">SUP CHV LG/DESL 2 TOM IEC/NBR14136 ROHS             REV-08  </v>
          </cell>
          <cell r="D234" t="str">
            <v>29-008851-000A</v>
          </cell>
          <cell r="E234" t="str">
            <v>KION IND E COM LT</v>
          </cell>
          <cell r="F234">
            <v>401</v>
          </cell>
          <cell r="G234">
            <v>44088</v>
          </cell>
          <cell r="H234">
            <v>376920</v>
          </cell>
          <cell r="J234">
            <v>42</v>
          </cell>
          <cell r="K234">
            <v>100</v>
          </cell>
          <cell r="L234">
            <v>100</v>
          </cell>
          <cell r="P234">
            <v>100</v>
          </cell>
          <cell r="Q234" t="str">
            <v/>
          </cell>
          <cell r="S234" t="str">
            <v>DF</v>
          </cell>
          <cell r="T234" t="str">
            <v>DF</v>
          </cell>
        </row>
        <row r="235">
          <cell r="A235">
            <v>982088811</v>
          </cell>
          <cell r="B235" t="str">
            <v>65.111.05299-7</v>
          </cell>
          <cell r="C235" t="str">
            <v xml:space="preserve">SUP CHV LG/DESL 2 TOM IEC/NBR14136 ROHS             REV-08  </v>
          </cell>
          <cell r="D235" t="str">
            <v>29-008851-000A</v>
          </cell>
          <cell r="E235" t="str">
            <v>KION IND E COM LT</v>
          </cell>
          <cell r="F235">
            <v>401</v>
          </cell>
          <cell r="G235">
            <v>44116</v>
          </cell>
          <cell r="H235">
            <v>377860</v>
          </cell>
          <cell r="J235">
            <v>70</v>
          </cell>
          <cell r="K235">
            <v>100</v>
          </cell>
          <cell r="L235">
            <v>100</v>
          </cell>
          <cell r="P235">
            <v>100</v>
          </cell>
          <cell r="Q235" t="str">
            <v/>
          </cell>
          <cell r="S235" t="str">
            <v>DF</v>
          </cell>
          <cell r="T235" t="str">
            <v>DF</v>
          </cell>
        </row>
        <row r="236">
          <cell r="A236">
            <v>982093901</v>
          </cell>
          <cell r="B236" t="str">
            <v>65.111.05299-7</v>
          </cell>
          <cell r="C236" t="str">
            <v xml:space="preserve">SUP CHV LG/DESL 2 TOM IEC/NBR14136 ROHS             REV-08  </v>
          </cell>
          <cell r="D236" t="str">
            <v>29-008851-000A</v>
          </cell>
          <cell r="E236" t="str">
            <v>KION IND E COM LT</v>
          </cell>
          <cell r="F236">
            <v>401</v>
          </cell>
          <cell r="G236">
            <v>44137</v>
          </cell>
          <cell r="H236">
            <v>378015</v>
          </cell>
          <cell r="J236">
            <v>91</v>
          </cell>
          <cell r="K236">
            <v>50</v>
          </cell>
          <cell r="L236">
            <v>50</v>
          </cell>
          <cell r="P236">
            <v>50</v>
          </cell>
          <cell r="Q236" t="str">
            <v/>
          </cell>
          <cell r="S236" t="str">
            <v>DF</v>
          </cell>
          <cell r="T236" t="str">
            <v>DF</v>
          </cell>
        </row>
        <row r="237">
          <cell r="A237">
            <v>202569112</v>
          </cell>
          <cell r="B237" t="str">
            <v>65.111.05312-9</v>
          </cell>
          <cell r="C237" t="str">
            <v>CHAPA FECH FUROS CX TOM BICR TPG BMB ROHS           REV-01</v>
          </cell>
          <cell r="D237" t="str">
            <v/>
          </cell>
          <cell r="E237" t="str">
            <v>KION IND E COM LT</v>
          </cell>
          <cell r="F237">
            <v>401</v>
          </cell>
          <cell r="G237">
            <v>43997</v>
          </cell>
          <cell r="H237">
            <v>668725</v>
          </cell>
          <cell r="I237" t="str">
            <v>K</v>
          </cell>
          <cell r="J237">
            <v>-49</v>
          </cell>
          <cell r="K237">
            <v>100</v>
          </cell>
          <cell r="L237">
            <v>100</v>
          </cell>
          <cell r="P237">
            <v>100</v>
          </cell>
          <cell r="Q237" t="str">
            <v>Trat. 22/07 - 90p - ZF</v>
          </cell>
          <cell r="S237">
            <v>44081</v>
          </cell>
          <cell r="T237">
            <v>9</v>
          </cell>
        </row>
        <row r="238">
          <cell r="A238">
            <v>202569113</v>
          </cell>
          <cell r="B238" t="str">
            <v>65.111.05312-9</v>
          </cell>
          <cell r="C238" t="str">
            <v>CHAPA FECH FUROS CX TOM BICR TPG BMB ROHS           REV-01</v>
          </cell>
          <cell r="D238" t="str">
            <v/>
          </cell>
          <cell r="E238" t="str">
            <v>KION IND E COM LT</v>
          </cell>
          <cell r="F238">
            <v>401</v>
          </cell>
          <cell r="G238">
            <v>44025</v>
          </cell>
          <cell r="H238">
            <v>668725</v>
          </cell>
          <cell r="I238" t="str">
            <v>K</v>
          </cell>
          <cell r="J238">
            <v>-21</v>
          </cell>
          <cell r="K238">
            <v>100</v>
          </cell>
          <cell r="L238">
            <v>100</v>
          </cell>
          <cell r="P238">
            <v>100</v>
          </cell>
          <cell r="Q238" t="str">
            <v>LASER 30/07 - FM</v>
          </cell>
          <cell r="S238">
            <v>44081</v>
          </cell>
          <cell r="T238">
            <v>9</v>
          </cell>
        </row>
        <row r="239">
          <cell r="A239">
            <v>12108000195</v>
          </cell>
          <cell r="B239" t="str">
            <v>65.111.07273-9</v>
          </cell>
          <cell r="C239" t="str">
            <v xml:space="preserve">SUP BOBINA IMP ITATIAIA ROHS                        REV-02  </v>
          </cell>
          <cell r="D239" t="str">
            <v/>
          </cell>
          <cell r="E239" t="str">
            <v>KION IND E COM LT</v>
          </cell>
          <cell r="F239">
            <v>401</v>
          </cell>
          <cell r="G239">
            <v>43990</v>
          </cell>
          <cell r="H239">
            <v>668725</v>
          </cell>
          <cell r="I239" t="str">
            <v>K</v>
          </cell>
          <cell r="J239">
            <v>0</v>
          </cell>
          <cell r="K239">
            <v>100</v>
          </cell>
          <cell r="L239">
            <v>100</v>
          </cell>
          <cell r="O239">
            <v>100</v>
          </cell>
          <cell r="P239">
            <v>0</v>
          </cell>
          <cell r="Q239" t="str">
            <v>Trat. 09/07 - DIADEMA</v>
          </cell>
          <cell r="T239">
            <v>7</v>
          </cell>
        </row>
        <row r="240">
          <cell r="A240">
            <v>12108000196</v>
          </cell>
          <cell r="B240" t="str">
            <v>65.111.07273-9</v>
          </cell>
          <cell r="C240" t="str">
            <v xml:space="preserve">SUP BOBINA IMP ITATIAIA ROHS                        REV-02  </v>
          </cell>
          <cell r="D240" t="str">
            <v/>
          </cell>
          <cell r="E240" t="str">
            <v>KION IND E COM LT</v>
          </cell>
          <cell r="F240">
            <v>401</v>
          </cell>
          <cell r="G240">
            <v>43990</v>
          </cell>
          <cell r="H240">
            <v>668725</v>
          </cell>
          <cell r="I240" t="str">
            <v>K</v>
          </cell>
          <cell r="J240">
            <v>0</v>
          </cell>
          <cell r="K240">
            <v>100</v>
          </cell>
          <cell r="L240">
            <v>100</v>
          </cell>
          <cell r="O240">
            <v>100</v>
          </cell>
          <cell r="P240">
            <v>0</v>
          </cell>
          <cell r="Q240" t="str">
            <v>Trat. 09/07 - DIADEMA</v>
          </cell>
          <cell r="T240">
            <v>7</v>
          </cell>
        </row>
        <row r="241">
          <cell r="A241">
            <v>12108000197</v>
          </cell>
          <cell r="B241" t="str">
            <v>65.111.07273-9</v>
          </cell>
          <cell r="C241" t="str">
            <v xml:space="preserve">SUP BOBINA IMP ITATIAIA ROHS                        REV-02  </v>
          </cell>
          <cell r="D241" t="str">
            <v/>
          </cell>
          <cell r="E241" t="str">
            <v>KION IND E COM LT</v>
          </cell>
          <cell r="F241">
            <v>401</v>
          </cell>
          <cell r="G241">
            <v>43990</v>
          </cell>
          <cell r="H241">
            <v>668725</v>
          </cell>
          <cell r="I241" t="str">
            <v>K</v>
          </cell>
          <cell r="J241">
            <v>0</v>
          </cell>
          <cell r="K241">
            <v>100</v>
          </cell>
          <cell r="L241">
            <v>100</v>
          </cell>
          <cell r="O241">
            <v>100</v>
          </cell>
          <cell r="P241">
            <v>0</v>
          </cell>
          <cell r="Q241" t="str">
            <v>Trat. 09/07 - DIADEMA</v>
          </cell>
          <cell r="T241">
            <v>7</v>
          </cell>
        </row>
        <row r="242">
          <cell r="A242">
            <v>12108000198</v>
          </cell>
          <cell r="B242" t="str">
            <v>65.111.07273-9</v>
          </cell>
          <cell r="C242" t="str">
            <v xml:space="preserve">SUP BOBINA IMP ITATIAIA ROHS                        REV-02  </v>
          </cell>
          <cell r="D242" t="str">
            <v/>
          </cell>
          <cell r="E242" t="str">
            <v>KION IND E COM LT</v>
          </cell>
          <cell r="F242">
            <v>401</v>
          </cell>
          <cell r="G242">
            <v>43997</v>
          </cell>
          <cell r="H242">
            <v>668725</v>
          </cell>
          <cell r="I242" t="str">
            <v>K</v>
          </cell>
          <cell r="J242">
            <v>0</v>
          </cell>
          <cell r="K242">
            <v>160</v>
          </cell>
          <cell r="L242">
            <v>160</v>
          </cell>
          <cell r="O242">
            <v>160</v>
          </cell>
          <cell r="P242">
            <v>0</v>
          </cell>
          <cell r="Q242" t="str">
            <v>Trat. 09/07 - DIADEMA</v>
          </cell>
          <cell r="T242">
            <v>7</v>
          </cell>
        </row>
        <row r="243">
          <cell r="A243">
            <v>202569114</v>
          </cell>
          <cell r="B243" t="str">
            <v>65.111.05312-9</v>
          </cell>
          <cell r="C243" t="str">
            <v>CHAPA FECH FUROS CX TOM BICR TPG BMB ROHS           REV-01</v>
          </cell>
          <cell r="D243" t="str">
            <v/>
          </cell>
          <cell r="E243" t="str">
            <v>KION IND E COM LT</v>
          </cell>
          <cell r="F243">
            <v>401</v>
          </cell>
          <cell r="G243">
            <v>44025</v>
          </cell>
          <cell r="H243">
            <v>668725</v>
          </cell>
          <cell r="I243" t="str">
            <v>K</v>
          </cell>
          <cell r="J243">
            <v>-21</v>
          </cell>
          <cell r="K243">
            <v>100</v>
          </cell>
          <cell r="L243">
            <v>100</v>
          </cell>
          <cell r="P243">
            <v>100</v>
          </cell>
          <cell r="Q243" t="str">
            <v>LASER 30/07 - FM</v>
          </cell>
          <cell r="S243" t="str">
            <v>DF</v>
          </cell>
          <cell r="T243" t="str">
            <v>DF</v>
          </cell>
        </row>
        <row r="244">
          <cell r="A244">
            <v>202569115</v>
          </cell>
          <cell r="B244" t="str">
            <v>65.111.05312-9</v>
          </cell>
          <cell r="C244" t="str">
            <v>CHAPA FECH FUROS CX TOM BICR TPG BMB ROHS           REV-01</v>
          </cell>
          <cell r="D244" t="str">
            <v/>
          </cell>
          <cell r="E244" t="str">
            <v>KION IND E COM LT</v>
          </cell>
          <cell r="F244">
            <v>401</v>
          </cell>
          <cell r="G244">
            <v>44025</v>
          </cell>
          <cell r="H244">
            <v>668725</v>
          </cell>
          <cell r="I244" t="str">
            <v>K</v>
          </cell>
          <cell r="J244">
            <v>-21</v>
          </cell>
          <cell r="K244">
            <v>100</v>
          </cell>
          <cell r="L244">
            <v>100</v>
          </cell>
          <cell r="P244">
            <v>100</v>
          </cell>
          <cell r="Q244" t="str">
            <v>LASER 30/07 - FM</v>
          </cell>
          <cell r="S244" t="str">
            <v>DF</v>
          </cell>
          <cell r="T244" t="str">
            <v>DF</v>
          </cell>
        </row>
        <row r="245">
          <cell r="A245">
            <v>928502001</v>
          </cell>
          <cell r="B245" t="str">
            <v>65.111.05646-3</v>
          </cell>
          <cell r="C245" t="str">
            <v xml:space="preserve">TAMPA PROT MICRO CHAVE SHUTTER AFD OPTV TB          REV-00  </v>
          </cell>
          <cell r="D245" t="str">
            <v/>
          </cell>
          <cell r="E245" t="str">
            <v>KION IND E COM LT</v>
          </cell>
          <cell r="F245">
            <v>401</v>
          </cell>
          <cell r="G245">
            <v>43262</v>
          </cell>
          <cell r="H245">
            <v>366765</v>
          </cell>
          <cell r="J245">
            <v>-784</v>
          </cell>
          <cell r="K245">
            <v>320</v>
          </cell>
          <cell r="L245">
            <v>320</v>
          </cell>
          <cell r="P245">
            <v>320</v>
          </cell>
          <cell r="Q245" t="str">
            <v>EST OK</v>
          </cell>
          <cell r="S245" t="str">
            <v>DF</v>
          </cell>
          <cell r="T245" t="str">
            <v>DF</v>
          </cell>
        </row>
        <row r="246">
          <cell r="A246">
            <v>982035261</v>
          </cell>
          <cell r="B246" t="str">
            <v>65.111.05821-6</v>
          </cell>
          <cell r="C246" t="str">
            <v xml:space="preserve">SUP SENSOR POSIC DEP/AFD ATM4500 ROHS               REV-00  </v>
          </cell>
          <cell r="D246" t="str">
            <v/>
          </cell>
          <cell r="E246" t="str">
            <v>KION IND E COM LT</v>
          </cell>
          <cell r="F246">
            <v>401</v>
          </cell>
          <cell r="G246">
            <v>44039</v>
          </cell>
          <cell r="H246">
            <v>377859</v>
          </cell>
          <cell r="J246">
            <v>-7</v>
          </cell>
          <cell r="K246">
            <v>150</v>
          </cell>
          <cell r="L246">
            <v>150</v>
          </cell>
          <cell r="P246">
            <v>150</v>
          </cell>
          <cell r="Q246" t="str">
            <v>Trat. 10/08 - 229p - DIADEMA</v>
          </cell>
          <cell r="S246">
            <v>44060</v>
          </cell>
          <cell r="T246">
            <v>6</v>
          </cell>
        </row>
        <row r="247">
          <cell r="A247">
            <v>982074481</v>
          </cell>
          <cell r="B247" t="str">
            <v>65.111.07361-9</v>
          </cell>
          <cell r="C247" t="str">
            <v xml:space="preserve">LINGUETA FECHADURA TRV PAIN SUP DCASH ROHS          REV-01  </v>
          </cell>
          <cell r="D247" t="str">
            <v/>
          </cell>
          <cell r="E247" t="str">
            <v>KION IND E COM LT</v>
          </cell>
          <cell r="F247">
            <v>401</v>
          </cell>
          <cell r="G247">
            <v>44046</v>
          </cell>
          <cell r="H247">
            <v>377859</v>
          </cell>
          <cell r="J247">
            <v>0</v>
          </cell>
          <cell r="K247">
            <v>150</v>
          </cell>
          <cell r="L247">
            <v>150</v>
          </cell>
          <cell r="N247">
            <v>150</v>
          </cell>
          <cell r="P247">
            <v>0</v>
          </cell>
          <cell r="Q247" t="str">
            <v>Trat. 28/07 - 348p - DIADEMA</v>
          </cell>
          <cell r="T247">
            <v>7</v>
          </cell>
        </row>
        <row r="248">
          <cell r="A248">
            <v>982073171</v>
          </cell>
          <cell r="B248" t="str">
            <v>65.111.05821-6</v>
          </cell>
          <cell r="C248" t="str">
            <v xml:space="preserve">SUP SENSOR POSIC DEP/AFD ATM4500 ROHS               REV-00  </v>
          </cell>
          <cell r="D248" t="str">
            <v/>
          </cell>
          <cell r="E248" t="str">
            <v>KION IND E COM LT</v>
          </cell>
          <cell r="F248">
            <v>401</v>
          </cell>
          <cell r="G248">
            <v>44060</v>
          </cell>
          <cell r="H248">
            <v>377859</v>
          </cell>
          <cell r="J248">
            <v>14</v>
          </cell>
          <cell r="K248">
            <v>100</v>
          </cell>
          <cell r="L248">
            <v>100</v>
          </cell>
          <cell r="P248">
            <v>100</v>
          </cell>
          <cell r="Q248" t="str">
            <v>Trat. 10/08 - DIADEMA</v>
          </cell>
          <cell r="S248">
            <v>44081</v>
          </cell>
          <cell r="T248">
            <v>9</v>
          </cell>
        </row>
        <row r="249">
          <cell r="A249">
            <v>951426001</v>
          </cell>
          <cell r="B249" t="str">
            <v>65.111.05932-5</v>
          </cell>
          <cell r="C249" t="str">
            <v xml:space="preserve">SUPT CN NOBREAK/REDE/ALARME/SINDAL ATM4500 CEF ROHS REV-01  </v>
          </cell>
          <cell r="D249" t="str">
            <v/>
          </cell>
          <cell r="E249" t="str">
            <v>KION IND E COM LT</v>
          </cell>
          <cell r="F249">
            <v>401</v>
          </cell>
          <cell r="G249">
            <v>43605</v>
          </cell>
          <cell r="H249">
            <v>371665</v>
          </cell>
          <cell r="J249">
            <v>-441</v>
          </cell>
          <cell r="K249">
            <v>120</v>
          </cell>
          <cell r="L249">
            <v>10</v>
          </cell>
          <cell r="P249">
            <v>10</v>
          </cell>
          <cell r="Q249" t="str">
            <v>EST OK</v>
          </cell>
          <cell r="S249">
            <v>44067</v>
          </cell>
          <cell r="T249">
            <v>7</v>
          </cell>
        </row>
        <row r="250">
          <cell r="A250">
            <v>982080341</v>
          </cell>
          <cell r="B250" t="str">
            <v>65.111.05932-5</v>
          </cell>
          <cell r="C250" t="str">
            <v xml:space="preserve">SUPT CN NOBREAK/REDE/ALARME/SINDAL ATM4500 CEF ROHS REV-01  </v>
          </cell>
          <cell r="D250" t="str">
            <v/>
          </cell>
          <cell r="E250" t="str">
            <v>KION IND E COM LT</v>
          </cell>
          <cell r="F250">
            <v>401</v>
          </cell>
          <cell r="G250">
            <v>44060</v>
          </cell>
          <cell r="H250">
            <v>377860</v>
          </cell>
          <cell r="J250">
            <v>14</v>
          </cell>
          <cell r="K250">
            <v>90</v>
          </cell>
          <cell r="L250">
            <v>90</v>
          </cell>
          <cell r="P250">
            <v>90</v>
          </cell>
          <cell r="Q250" t="str">
            <v>OP 24/07 - FM</v>
          </cell>
          <cell r="S250">
            <v>44067</v>
          </cell>
          <cell r="T250">
            <v>7</v>
          </cell>
        </row>
        <row r="251">
          <cell r="A251">
            <v>982070191</v>
          </cell>
          <cell r="B251" t="str">
            <v>65.111.05941-7</v>
          </cell>
          <cell r="C251" t="str">
            <v xml:space="preserve">STOP FERROLHO GAB OPTEVA FULL TR ITAU               REV-00  </v>
          </cell>
          <cell r="D251" t="str">
            <v/>
          </cell>
          <cell r="E251" t="str">
            <v>KION IND E COM LT</v>
          </cell>
          <cell r="F251">
            <v>401</v>
          </cell>
          <cell r="G251">
            <v>44060</v>
          </cell>
          <cell r="H251">
            <v>377859</v>
          </cell>
          <cell r="J251">
            <v>14</v>
          </cell>
          <cell r="K251">
            <v>500</v>
          </cell>
          <cell r="L251">
            <v>500</v>
          </cell>
          <cell r="P251">
            <v>500</v>
          </cell>
          <cell r="Q251" t="str">
            <v>OP 24/07 - FM</v>
          </cell>
          <cell r="S251">
            <v>44067</v>
          </cell>
          <cell r="T251">
            <v>7</v>
          </cell>
        </row>
        <row r="252">
          <cell r="A252">
            <v>982070201</v>
          </cell>
          <cell r="B252" t="str">
            <v>65.111.05994-3</v>
          </cell>
          <cell r="C252" t="str">
            <v xml:space="preserve">LING 3 PONTOS FECH PACRI  PT GAB SUP OPTEVA ITAU    REV-00  </v>
          </cell>
          <cell r="D252" t="str">
            <v/>
          </cell>
          <cell r="E252" t="str">
            <v>KION IND E COM LT</v>
          </cell>
          <cell r="F252">
            <v>401</v>
          </cell>
          <cell r="G252">
            <v>44060</v>
          </cell>
          <cell r="H252">
            <v>377859</v>
          </cell>
          <cell r="J252">
            <v>14</v>
          </cell>
          <cell r="K252">
            <v>610</v>
          </cell>
          <cell r="L252">
            <v>610</v>
          </cell>
          <cell r="P252">
            <v>610</v>
          </cell>
          <cell r="Q252" t="str">
            <v>Trat. 03/08 - DIADEMA</v>
          </cell>
          <cell r="R252" t="str">
            <v>06/08 - B</v>
          </cell>
          <cell r="S252">
            <v>44060</v>
          </cell>
          <cell r="T252">
            <v>6</v>
          </cell>
        </row>
        <row r="253">
          <cell r="A253">
            <v>981953001</v>
          </cell>
          <cell r="B253" t="str">
            <v>65.111.05994-3</v>
          </cell>
          <cell r="C253" t="str">
            <v xml:space="preserve">LING 3 PONTOS FECH PACRI  PT GAB SUP OPTEVA ITAU    REV-00  </v>
          </cell>
          <cell r="D253" t="str">
            <v/>
          </cell>
          <cell r="E253" t="str">
            <v>KION IND E COM LT</v>
          </cell>
          <cell r="F253">
            <v>401</v>
          </cell>
          <cell r="G253">
            <v>44039</v>
          </cell>
          <cell r="H253">
            <v>377859</v>
          </cell>
          <cell r="J253">
            <v>-7</v>
          </cell>
          <cell r="K253">
            <v>200</v>
          </cell>
          <cell r="L253">
            <v>200</v>
          </cell>
          <cell r="P253">
            <v>200</v>
          </cell>
          <cell r="Q253" t="str">
            <v>material em tratamento superficial - previsão de entrega até 07/08</v>
          </cell>
          <cell r="R253" t="str">
            <v>06/08 - B</v>
          </cell>
          <cell r="S253">
            <v>44046</v>
          </cell>
          <cell r="T253">
            <v>4</v>
          </cell>
        </row>
        <row r="254">
          <cell r="A254">
            <v>955315002</v>
          </cell>
          <cell r="B254" t="str">
            <v>65.111.06059-6</v>
          </cell>
          <cell r="C254" t="str">
            <v xml:space="preserve">SUP BAT DO COF OPTEVA FULL ITAU ROHS                REV-00  </v>
          </cell>
          <cell r="D254" t="str">
            <v/>
          </cell>
          <cell r="E254" t="str">
            <v>KION IND E COM LT</v>
          </cell>
          <cell r="F254">
            <v>401</v>
          </cell>
          <cell r="G254">
            <v>43710</v>
          </cell>
          <cell r="H254">
            <v>372486</v>
          </cell>
          <cell r="J254">
            <v>-336</v>
          </cell>
          <cell r="K254">
            <v>250</v>
          </cell>
          <cell r="L254">
            <v>1</v>
          </cell>
          <cell r="P254">
            <v>1</v>
          </cell>
          <cell r="Q254">
            <v>0</v>
          </cell>
          <cell r="T254" t="str">
            <v>S Con</v>
          </cell>
        </row>
        <row r="255">
          <cell r="A255">
            <v>982070101</v>
          </cell>
          <cell r="B255" t="str">
            <v>65.111.06097-8</v>
          </cell>
          <cell r="C255" t="str">
            <v xml:space="preserve">ABRAC TRAVA CONECTORES FECHAD CAR SCL               REV-00  </v>
          </cell>
          <cell r="D255" t="str">
            <v/>
          </cell>
          <cell r="E255" t="str">
            <v>KION IND E COM LT</v>
          </cell>
          <cell r="F255">
            <v>401</v>
          </cell>
          <cell r="G255">
            <v>44060</v>
          </cell>
          <cell r="H255">
            <v>377859</v>
          </cell>
          <cell r="J255">
            <v>14</v>
          </cell>
          <cell r="K255">
            <v>700</v>
          </cell>
          <cell r="L255">
            <v>700</v>
          </cell>
          <cell r="P255">
            <v>700</v>
          </cell>
          <cell r="Q255" t="str">
            <v>OP 21/07 - FM</v>
          </cell>
          <cell r="R255" t="str">
            <v>10/08 - A</v>
          </cell>
          <cell r="S255">
            <v>44060</v>
          </cell>
          <cell r="T255">
            <v>6</v>
          </cell>
        </row>
        <row r="256">
          <cell r="A256">
            <v>982006471</v>
          </cell>
          <cell r="B256" t="str">
            <v>65.111.06097-8</v>
          </cell>
          <cell r="C256" t="str">
            <v xml:space="preserve">ABRAC TRAVA CONECTORES FECHAD CAR SCL               REV-00  </v>
          </cell>
          <cell r="D256" t="str">
            <v/>
          </cell>
          <cell r="E256" t="str">
            <v>KION IND E COM LT</v>
          </cell>
          <cell r="F256">
            <v>401</v>
          </cell>
          <cell r="G256">
            <v>44046</v>
          </cell>
          <cell r="H256">
            <v>377859</v>
          </cell>
          <cell r="J256">
            <v>0</v>
          </cell>
          <cell r="K256">
            <v>90</v>
          </cell>
          <cell r="L256">
            <v>90</v>
          </cell>
          <cell r="P256">
            <v>90</v>
          </cell>
          <cell r="Q256" t="str">
            <v>material em tratamento superficial - previsão de entrega até 07/08</v>
          </cell>
          <cell r="R256" t="str">
            <v>07/08 - A</v>
          </cell>
          <cell r="S256">
            <v>44046</v>
          </cell>
          <cell r="T256">
            <v>4</v>
          </cell>
        </row>
        <row r="257">
          <cell r="A257">
            <v>948723001</v>
          </cell>
          <cell r="B257" t="str">
            <v>65.111.06156-8</v>
          </cell>
          <cell r="C257" t="str">
            <v xml:space="preserve">PINO DIST ROLETE MOLA DISSUASAO AFD                 REV-01  </v>
          </cell>
          <cell r="D257" t="str">
            <v/>
          </cell>
          <cell r="E257" t="str">
            <v>KION IND E COM LT</v>
          </cell>
          <cell r="F257">
            <v>401</v>
          </cell>
          <cell r="G257">
            <v>43514</v>
          </cell>
          <cell r="H257">
            <v>371414</v>
          </cell>
          <cell r="J257">
            <v>-532</v>
          </cell>
          <cell r="K257">
            <v>20</v>
          </cell>
          <cell r="L257">
            <v>20</v>
          </cell>
          <cell r="P257">
            <v>20</v>
          </cell>
          <cell r="Q257">
            <v>0</v>
          </cell>
          <cell r="T257" t="str">
            <v>S Con</v>
          </cell>
        </row>
        <row r="258">
          <cell r="A258">
            <v>977669001</v>
          </cell>
          <cell r="B258" t="str">
            <v>65.111.06210-3</v>
          </cell>
          <cell r="C258" t="str">
            <v>SUP CONECTOR(8 VIAS) CB SENS INT COFRE 4500 ROHS    REV-01</v>
          </cell>
          <cell r="D258" t="str">
            <v/>
          </cell>
          <cell r="E258" t="str">
            <v>KION IND E COM LT</v>
          </cell>
          <cell r="F258">
            <v>401</v>
          </cell>
          <cell r="G258">
            <v>44053</v>
          </cell>
          <cell r="H258">
            <v>376657</v>
          </cell>
          <cell r="J258">
            <v>7</v>
          </cell>
          <cell r="K258">
            <v>70</v>
          </cell>
          <cell r="L258">
            <v>70</v>
          </cell>
          <cell r="P258">
            <v>70</v>
          </cell>
          <cell r="Q258" t="str">
            <v/>
          </cell>
          <cell r="S258" t="str">
            <v>DF</v>
          </cell>
          <cell r="T258" t="str">
            <v>DF</v>
          </cell>
        </row>
        <row r="259">
          <cell r="A259">
            <v>977402001</v>
          </cell>
          <cell r="B259" t="str">
            <v>65.111.06218-9</v>
          </cell>
          <cell r="C259" t="str">
            <v xml:space="preserve">SUP ADAPT CX SENSORES FECH PENTASIS ROHS            REV-00  </v>
          </cell>
          <cell r="D259" t="str">
            <v/>
          </cell>
          <cell r="E259" t="str">
            <v>KION IND E COM LT</v>
          </cell>
          <cell r="F259">
            <v>401</v>
          </cell>
          <cell r="G259">
            <v>43990</v>
          </cell>
          <cell r="H259">
            <v>376545</v>
          </cell>
          <cell r="J259">
            <v>-56</v>
          </cell>
          <cell r="K259">
            <v>15</v>
          </cell>
          <cell r="L259">
            <v>15</v>
          </cell>
          <cell r="P259">
            <v>15</v>
          </cell>
          <cell r="Q259" t="str">
            <v/>
          </cell>
          <cell r="S259" t="str">
            <v>DF</v>
          </cell>
          <cell r="T259" t="str">
            <v>DF</v>
          </cell>
        </row>
        <row r="260">
          <cell r="A260">
            <v>982093951</v>
          </cell>
          <cell r="B260" t="str">
            <v>65.111.06269-1</v>
          </cell>
          <cell r="C260" t="str">
            <v>CHP PROT CARTﾃO CPU DEPOSITﾁRIO PENTASIS            REV-03</v>
          </cell>
          <cell r="D260" t="str">
            <v/>
          </cell>
          <cell r="E260" t="str">
            <v>KION IND E COM LT</v>
          </cell>
          <cell r="F260">
            <v>401</v>
          </cell>
          <cell r="G260">
            <v>44137</v>
          </cell>
          <cell r="H260">
            <v>378015</v>
          </cell>
          <cell r="J260">
            <v>91</v>
          </cell>
          <cell r="K260">
            <v>50</v>
          </cell>
          <cell r="L260">
            <v>50</v>
          </cell>
          <cell r="P260">
            <v>50</v>
          </cell>
          <cell r="Q260" t="str">
            <v/>
          </cell>
          <cell r="S260" t="str">
            <v>DF</v>
          </cell>
          <cell r="T260" t="str">
            <v>DF</v>
          </cell>
        </row>
        <row r="261">
          <cell r="A261">
            <v>978018001</v>
          </cell>
          <cell r="B261" t="str">
            <v>65.111.06310-6</v>
          </cell>
          <cell r="C261" t="str">
            <v>BATENTE TRV PT GAB ATM4500 ROHS                     REV-01</v>
          </cell>
          <cell r="D261" t="str">
            <v/>
          </cell>
          <cell r="E261" t="str">
            <v>KION IND E COM LT</v>
          </cell>
          <cell r="F261">
            <v>401</v>
          </cell>
          <cell r="G261">
            <v>44081</v>
          </cell>
          <cell r="H261">
            <v>376761</v>
          </cell>
          <cell r="J261">
            <v>35</v>
          </cell>
          <cell r="K261">
            <v>50</v>
          </cell>
          <cell r="L261">
            <v>50</v>
          </cell>
          <cell r="P261">
            <v>50</v>
          </cell>
          <cell r="Q261" t="str">
            <v/>
          </cell>
          <cell r="S261" t="str">
            <v>DF</v>
          </cell>
          <cell r="T261" t="str">
            <v>DF</v>
          </cell>
        </row>
        <row r="262">
          <cell r="A262">
            <v>977671001</v>
          </cell>
          <cell r="B262" t="str">
            <v>65.111.06310-6</v>
          </cell>
          <cell r="C262" t="str">
            <v>BATENTE TRV PT GAB ATM4500 ROHS                     REV-01</v>
          </cell>
          <cell r="D262" t="str">
            <v/>
          </cell>
          <cell r="E262" t="str">
            <v>KION IND E COM LT</v>
          </cell>
          <cell r="F262">
            <v>401</v>
          </cell>
          <cell r="G262">
            <v>44109</v>
          </cell>
          <cell r="H262">
            <v>376657</v>
          </cell>
          <cell r="J262">
            <v>63</v>
          </cell>
          <cell r="K262">
            <v>40</v>
          </cell>
          <cell r="L262">
            <v>40</v>
          </cell>
          <cell r="P262">
            <v>40</v>
          </cell>
          <cell r="Q262" t="str">
            <v/>
          </cell>
          <cell r="S262" t="str">
            <v>DF</v>
          </cell>
          <cell r="T262" t="str">
            <v>DF</v>
          </cell>
        </row>
        <row r="263">
          <cell r="A263">
            <v>982094051</v>
          </cell>
          <cell r="B263" t="str">
            <v>65.111.06455-0</v>
          </cell>
          <cell r="C263" t="str">
            <v xml:space="preserve">CJ BASE PROT DIP CRIPT ATM4500 ASKM C/ SHUTTER ROHS REV-01  </v>
          </cell>
          <cell r="D263" t="str">
            <v>29-009577-000A</v>
          </cell>
          <cell r="E263" t="str">
            <v>KION IND E COM LT</v>
          </cell>
          <cell r="F263">
            <v>401</v>
          </cell>
          <cell r="G263">
            <v>44067</v>
          </cell>
          <cell r="H263">
            <v>378015</v>
          </cell>
          <cell r="J263">
            <v>21</v>
          </cell>
          <cell r="K263">
            <v>60</v>
          </cell>
          <cell r="L263">
            <v>60</v>
          </cell>
          <cell r="P263">
            <v>60</v>
          </cell>
          <cell r="Q263" t="str">
            <v>OP 03/08 - FM</v>
          </cell>
          <cell r="S263">
            <v>44081</v>
          </cell>
          <cell r="T263">
            <v>9</v>
          </cell>
        </row>
        <row r="264">
          <cell r="A264">
            <v>202574193</v>
          </cell>
          <cell r="B264" t="str">
            <v>65.111.06482-6</v>
          </cell>
          <cell r="C264" t="str">
            <v xml:space="preserve">CHASSI DIP C/ FIX LAT ROHS                          REV-01  </v>
          </cell>
          <cell r="D264" t="str">
            <v>29-009105-000J</v>
          </cell>
          <cell r="E264" t="str">
            <v>KION IND E COM LT</v>
          </cell>
          <cell r="F264">
            <v>401</v>
          </cell>
          <cell r="G264">
            <v>44011</v>
          </cell>
          <cell r="H264">
            <v>668725</v>
          </cell>
          <cell r="I264" t="str">
            <v>K</v>
          </cell>
          <cell r="J264">
            <v>-35</v>
          </cell>
          <cell r="K264">
            <v>100</v>
          </cell>
          <cell r="L264">
            <v>100</v>
          </cell>
          <cell r="P264">
            <v>100</v>
          </cell>
          <cell r="Q264" t="str">
            <v>Laser 08/07 - FM</v>
          </cell>
          <cell r="S264">
            <v>44067</v>
          </cell>
          <cell r="T264">
            <v>7</v>
          </cell>
        </row>
        <row r="265">
          <cell r="A265">
            <v>202574194</v>
          </cell>
          <cell r="B265" t="str">
            <v>65.111.06482-6</v>
          </cell>
          <cell r="C265" t="str">
            <v xml:space="preserve">CHASSI DIP C/ FIX LAT ROHS                          REV-01  </v>
          </cell>
          <cell r="D265" t="str">
            <v>29-009105-000J</v>
          </cell>
          <cell r="E265" t="str">
            <v>KION IND E COM LT</v>
          </cell>
          <cell r="F265">
            <v>401</v>
          </cell>
          <cell r="G265">
            <v>44011</v>
          </cell>
          <cell r="H265">
            <v>668725</v>
          </cell>
          <cell r="I265" t="str">
            <v>K</v>
          </cell>
          <cell r="J265">
            <v>-35</v>
          </cell>
          <cell r="K265">
            <v>100</v>
          </cell>
          <cell r="L265">
            <v>100</v>
          </cell>
          <cell r="P265">
            <v>100</v>
          </cell>
          <cell r="Q265" t="str">
            <v>Laser 08/07 - FM</v>
          </cell>
          <cell r="S265">
            <v>44074</v>
          </cell>
          <cell r="T265">
            <v>8</v>
          </cell>
        </row>
        <row r="266">
          <cell r="A266">
            <v>982074631</v>
          </cell>
          <cell r="B266" t="str">
            <v>65.111.08073-4</v>
          </cell>
          <cell r="C266" t="str">
            <v xml:space="preserve">SUPT FIX CAR USB ISOLATOR ROHS                      REV-00  </v>
          </cell>
          <cell r="D266" t="str">
            <v/>
          </cell>
          <cell r="E266" t="str">
            <v>KION IND E COM LT</v>
          </cell>
          <cell r="F266">
            <v>401</v>
          </cell>
          <cell r="G266">
            <v>44046</v>
          </cell>
          <cell r="H266">
            <v>377859</v>
          </cell>
          <cell r="J266">
            <v>0</v>
          </cell>
          <cell r="K266">
            <v>160</v>
          </cell>
          <cell r="L266">
            <v>160</v>
          </cell>
          <cell r="N266">
            <v>160</v>
          </cell>
          <cell r="P266">
            <v>0</v>
          </cell>
          <cell r="Q266" t="str">
            <v>Trat. 28/07 - 360p - DIADEMA</v>
          </cell>
          <cell r="T266">
            <v>7</v>
          </cell>
        </row>
        <row r="267">
          <cell r="A267">
            <v>202574195</v>
          </cell>
          <cell r="B267" t="str">
            <v>65.111.06482-6</v>
          </cell>
          <cell r="C267" t="str">
            <v xml:space="preserve">CHASSI DIP C/ FIX LAT ROHS                          REV-01  </v>
          </cell>
          <cell r="D267" t="str">
            <v>29-009105-000J</v>
          </cell>
          <cell r="E267" t="str">
            <v>KION IND E COM LT</v>
          </cell>
          <cell r="F267">
            <v>401</v>
          </cell>
          <cell r="G267">
            <v>44025</v>
          </cell>
          <cell r="H267">
            <v>668725</v>
          </cell>
          <cell r="I267" t="str">
            <v>K</v>
          </cell>
          <cell r="J267">
            <v>-21</v>
          </cell>
          <cell r="K267">
            <v>100</v>
          </cell>
          <cell r="L267">
            <v>100</v>
          </cell>
          <cell r="P267">
            <v>100</v>
          </cell>
          <cell r="Q267" t="str">
            <v>Laser 08/07 - FM</v>
          </cell>
          <cell r="S267">
            <v>44081</v>
          </cell>
          <cell r="T267">
            <v>9</v>
          </cell>
        </row>
        <row r="268">
          <cell r="A268">
            <v>202574196</v>
          </cell>
          <cell r="B268" t="str">
            <v>65.111.06482-6</v>
          </cell>
          <cell r="C268" t="str">
            <v xml:space="preserve">CHASSI DIP C/ FIX LAT ROHS                          REV-01  </v>
          </cell>
          <cell r="D268" t="str">
            <v>29-009105-000J</v>
          </cell>
          <cell r="E268" t="str">
            <v>KION IND E COM LT</v>
          </cell>
          <cell r="F268">
            <v>401</v>
          </cell>
          <cell r="G268">
            <v>44025</v>
          </cell>
          <cell r="H268">
            <v>668725</v>
          </cell>
          <cell r="I268" t="str">
            <v>K</v>
          </cell>
          <cell r="J268">
            <v>-21</v>
          </cell>
          <cell r="K268">
            <v>100</v>
          </cell>
          <cell r="L268">
            <v>100</v>
          </cell>
          <cell r="P268">
            <v>100</v>
          </cell>
          <cell r="Q268" t="str">
            <v>Laser 08/07 - FM</v>
          </cell>
          <cell r="S268">
            <v>44081</v>
          </cell>
          <cell r="T268">
            <v>9</v>
          </cell>
        </row>
        <row r="269">
          <cell r="A269">
            <v>202574197</v>
          </cell>
          <cell r="B269" t="str">
            <v>65.111.06482-6</v>
          </cell>
          <cell r="C269" t="str">
            <v xml:space="preserve">CHASSI DIP C/ FIX LAT ROHS                          REV-01  </v>
          </cell>
          <cell r="D269" t="str">
            <v>29-009105-000J</v>
          </cell>
          <cell r="E269" t="str">
            <v>KION IND E COM LT</v>
          </cell>
          <cell r="F269">
            <v>401</v>
          </cell>
          <cell r="G269">
            <v>44025</v>
          </cell>
          <cell r="H269">
            <v>668725</v>
          </cell>
          <cell r="I269" t="str">
            <v>K</v>
          </cell>
          <cell r="J269">
            <v>-21</v>
          </cell>
          <cell r="K269">
            <v>100</v>
          </cell>
          <cell r="L269">
            <v>100</v>
          </cell>
          <cell r="P269">
            <v>100</v>
          </cell>
          <cell r="Q269" t="str">
            <v>Laser 08/07 - FM +50</v>
          </cell>
          <cell r="S269">
            <v>44081</v>
          </cell>
          <cell r="T269">
            <v>9</v>
          </cell>
        </row>
        <row r="270">
          <cell r="A270">
            <v>999930486</v>
          </cell>
          <cell r="B270" t="str">
            <v>65.111.08200-6</v>
          </cell>
          <cell r="C270" t="str">
            <v xml:space="preserve">REFORCO PROT TRINCO ROHS                            REV-00  </v>
          </cell>
          <cell r="D270" t="str">
            <v/>
          </cell>
          <cell r="E270" t="str">
            <v>KION IND E COM LT</v>
          </cell>
          <cell r="F270">
            <v>401</v>
          </cell>
          <cell r="G270">
            <v>43990</v>
          </cell>
          <cell r="H270">
            <v>668725</v>
          </cell>
          <cell r="I270" t="str">
            <v>K</v>
          </cell>
          <cell r="J270">
            <v>0</v>
          </cell>
          <cell r="K270">
            <v>100</v>
          </cell>
          <cell r="L270">
            <v>100</v>
          </cell>
          <cell r="M270">
            <v>100</v>
          </cell>
          <cell r="P270">
            <v>0</v>
          </cell>
          <cell r="Q270" t="str">
            <v>Trat. 02/07 - ZF</v>
          </cell>
          <cell r="T270">
            <v>7</v>
          </cell>
        </row>
        <row r="271">
          <cell r="A271">
            <v>999930487</v>
          </cell>
          <cell r="B271" t="str">
            <v>65.111.08200-6</v>
          </cell>
          <cell r="C271" t="str">
            <v xml:space="preserve">REFORCO PROT TRINCO ROHS                            REV-00  </v>
          </cell>
          <cell r="D271" t="str">
            <v/>
          </cell>
          <cell r="E271" t="str">
            <v>KION IND E COM LT</v>
          </cell>
          <cell r="F271">
            <v>401</v>
          </cell>
          <cell r="G271">
            <v>43997</v>
          </cell>
          <cell r="H271">
            <v>668725</v>
          </cell>
          <cell r="I271" t="str">
            <v>K</v>
          </cell>
          <cell r="J271">
            <v>0</v>
          </cell>
          <cell r="K271">
            <v>150</v>
          </cell>
          <cell r="L271">
            <v>150</v>
          </cell>
          <cell r="M271">
            <v>150</v>
          </cell>
          <cell r="P271">
            <v>0</v>
          </cell>
          <cell r="Q271" t="str">
            <v>Trat. 02/07 - ZF</v>
          </cell>
          <cell r="T271">
            <v>7</v>
          </cell>
        </row>
        <row r="272">
          <cell r="A272">
            <v>999930488</v>
          </cell>
          <cell r="B272" t="str">
            <v>65.111.08200-6</v>
          </cell>
          <cell r="C272" t="str">
            <v xml:space="preserve">REFORCO PROT TRINCO ROHS                            REV-00  </v>
          </cell>
          <cell r="D272" t="str">
            <v/>
          </cell>
          <cell r="E272" t="str">
            <v>KION IND E COM LT</v>
          </cell>
          <cell r="F272">
            <v>401</v>
          </cell>
          <cell r="G272">
            <v>44004</v>
          </cell>
          <cell r="H272">
            <v>668725</v>
          </cell>
          <cell r="I272" t="str">
            <v>K</v>
          </cell>
          <cell r="J272">
            <v>0</v>
          </cell>
          <cell r="K272">
            <v>100</v>
          </cell>
          <cell r="L272">
            <v>100</v>
          </cell>
          <cell r="N272">
            <v>100</v>
          </cell>
          <cell r="P272">
            <v>0</v>
          </cell>
          <cell r="Q272" t="str">
            <v>Trat. 22/07 - 313p - DIADEMA</v>
          </cell>
          <cell r="T272">
            <v>7</v>
          </cell>
        </row>
        <row r="273">
          <cell r="A273">
            <v>999930489</v>
          </cell>
          <cell r="B273" t="str">
            <v>65.111.08200-6</v>
          </cell>
          <cell r="C273" t="str">
            <v xml:space="preserve">REFORCO PROT TRINCO ROHS                            REV-00  </v>
          </cell>
          <cell r="D273" t="str">
            <v/>
          </cell>
          <cell r="E273" t="str">
            <v>KION IND E COM LT</v>
          </cell>
          <cell r="F273">
            <v>401</v>
          </cell>
          <cell r="G273">
            <v>44011</v>
          </cell>
          <cell r="H273">
            <v>668725</v>
          </cell>
          <cell r="I273" t="str">
            <v>K</v>
          </cell>
          <cell r="J273">
            <v>0</v>
          </cell>
          <cell r="K273">
            <v>100</v>
          </cell>
          <cell r="L273">
            <v>100</v>
          </cell>
          <cell r="N273">
            <v>100</v>
          </cell>
          <cell r="P273">
            <v>0</v>
          </cell>
          <cell r="Q273" t="str">
            <v>Trat. 22/07 - DIADEMA</v>
          </cell>
          <cell r="T273">
            <v>7</v>
          </cell>
        </row>
        <row r="274">
          <cell r="A274">
            <v>999930490</v>
          </cell>
          <cell r="B274" t="str">
            <v>65.111.08200-6</v>
          </cell>
          <cell r="C274" t="str">
            <v xml:space="preserve">REFORCO PROT TRINCO ROHS                            REV-00  </v>
          </cell>
          <cell r="D274" t="str">
            <v/>
          </cell>
          <cell r="E274" t="str">
            <v>KION IND E COM LT</v>
          </cell>
          <cell r="F274">
            <v>401</v>
          </cell>
          <cell r="G274">
            <v>44011</v>
          </cell>
          <cell r="H274">
            <v>668725</v>
          </cell>
          <cell r="I274" t="str">
            <v>K</v>
          </cell>
          <cell r="J274">
            <v>0</v>
          </cell>
          <cell r="K274">
            <v>100</v>
          </cell>
          <cell r="L274">
            <v>100</v>
          </cell>
          <cell r="N274">
            <v>100</v>
          </cell>
          <cell r="P274">
            <v>0</v>
          </cell>
          <cell r="Q274" t="str">
            <v>Trat. 22/07 - DIADEMA</v>
          </cell>
          <cell r="T274">
            <v>7</v>
          </cell>
        </row>
        <row r="275">
          <cell r="A275">
            <v>202574198</v>
          </cell>
          <cell r="B275" t="str">
            <v>65.111.06482-6</v>
          </cell>
          <cell r="C275" t="str">
            <v xml:space="preserve">CHASSI DIP C/ FIX LAT ROHS                          REV-01  </v>
          </cell>
          <cell r="D275" t="str">
            <v>29-009105-000J</v>
          </cell>
          <cell r="E275" t="str">
            <v>KION IND E COM LT</v>
          </cell>
          <cell r="F275">
            <v>401</v>
          </cell>
          <cell r="G275">
            <v>44025</v>
          </cell>
          <cell r="H275">
            <v>668725</v>
          </cell>
          <cell r="I275" t="str">
            <v>K</v>
          </cell>
          <cell r="J275">
            <v>-21</v>
          </cell>
          <cell r="K275">
            <v>100</v>
          </cell>
          <cell r="L275">
            <v>100</v>
          </cell>
          <cell r="P275">
            <v>100</v>
          </cell>
          <cell r="Q275" t="str">
            <v>LASER 30/07 - FM</v>
          </cell>
          <cell r="S275">
            <v>44081</v>
          </cell>
          <cell r="T275">
            <v>9</v>
          </cell>
        </row>
        <row r="276">
          <cell r="A276">
            <v>202574199</v>
          </cell>
          <cell r="B276" t="str">
            <v>65.111.06482-6</v>
          </cell>
          <cell r="C276" t="str">
            <v xml:space="preserve">CHASSI DIP C/ FIX LAT ROHS                          REV-01  </v>
          </cell>
          <cell r="D276" t="str">
            <v>29-009105-000J</v>
          </cell>
          <cell r="E276" t="str">
            <v>KION IND E COM LT</v>
          </cell>
          <cell r="F276">
            <v>401</v>
          </cell>
          <cell r="G276">
            <v>44025</v>
          </cell>
          <cell r="H276">
            <v>668725</v>
          </cell>
          <cell r="I276" t="str">
            <v>K</v>
          </cell>
          <cell r="J276">
            <v>-21</v>
          </cell>
          <cell r="K276">
            <v>100</v>
          </cell>
          <cell r="L276">
            <v>100</v>
          </cell>
          <cell r="P276">
            <v>100</v>
          </cell>
          <cell r="Q276" t="str">
            <v>LASER 30/07 - FM</v>
          </cell>
          <cell r="S276">
            <v>44095</v>
          </cell>
          <cell r="T276">
            <v>11</v>
          </cell>
        </row>
        <row r="277">
          <cell r="A277">
            <v>979103001</v>
          </cell>
          <cell r="B277" t="str">
            <v>65.111.06490-1</v>
          </cell>
          <cell r="C277" t="str">
            <v>TAMPA PROT CAR STEP DOWN DEP PENTASIS ROHS          REV-01</v>
          </cell>
          <cell r="D277" t="str">
            <v/>
          </cell>
          <cell r="E277" t="str">
            <v>KION IND E COM LT</v>
          </cell>
          <cell r="F277">
            <v>401</v>
          </cell>
          <cell r="G277">
            <v>44088</v>
          </cell>
          <cell r="H277">
            <v>376920</v>
          </cell>
          <cell r="J277">
            <v>42</v>
          </cell>
          <cell r="K277">
            <v>90</v>
          </cell>
          <cell r="L277">
            <v>90</v>
          </cell>
          <cell r="P277">
            <v>90</v>
          </cell>
          <cell r="Q277" t="str">
            <v/>
          </cell>
          <cell r="S277" t="str">
            <v>DF</v>
          </cell>
          <cell r="T277" t="str">
            <v>DF</v>
          </cell>
        </row>
        <row r="278">
          <cell r="A278">
            <v>9999305169</v>
          </cell>
          <cell r="B278" t="str">
            <v>65.111.08252-5</v>
          </cell>
          <cell r="C278" t="str">
            <v xml:space="preserve">SUPORTE TRAVA RM4                                   REV-01  </v>
          </cell>
          <cell r="D278" t="str">
            <v/>
          </cell>
          <cell r="E278" t="str">
            <v>KION IND E COM LT</v>
          </cell>
          <cell r="F278">
            <v>401</v>
          </cell>
          <cell r="G278">
            <v>44011</v>
          </cell>
          <cell r="H278">
            <v>668725</v>
          </cell>
          <cell r="I278" t="str">
            <v>K</v>
          </cell>
          <cell r="J278">
            <v>0</v>
          </cell>
          <cell r="K278">
            <v>100</v>
          </cell>
          <cell r="L278">
            <v>100</v>
          </cell>
          <cell r="N278">
            <v>100</v>
          </cell>
          <cell r="P278">
            <v>0</v>
          </cell>
          <cell r="Q278" t="str">
            <v>Trat. 28/07 - 1550p - DIADEMA</v>
          </cell>
          <cell r="T278">
            <v>7</v>
          </cell>
        </row>
        <row r="279">
          <cell r="A279">
            <v>9999305170</v>
          </cell>
          <cell r="B279" t="str">
            <v>65.111.08252-5</v>
          </cell>
          <cell r="C279" t="str">
            <v xml:space="preserve">SUPORTE TRAVA RM4                                   REV-01  </v>
          </cell>
          <cell r="D279" t="str">
            <v/>
          </cell>
          <cell r="E279" t="str">
            <v>KION IND E COM LT</v>
          </cell>
          <cell r="F279">
            <v>401</v>
          </cell>
          <cell r="G279">
            <v>44011</v>
          </cell>
          <cell r="H279">
            <v>668725</v>
          </cell>
          <cell r="I279" t="str">
            <v>K</v>
          </cell>
          <cell r="J279">
            <v>0</v>
          </cell>
          <cell r="K279">
            <v>100</v>
          </cell>
          <cell r="L279">
            <v>100</v>
          </cell>
          <cell r="N279">
            <v>100</v>
          </cell>
          <cell r="P279">
            <v>0</v>
          </cell>
          <cell r="Q279" t="str">
            <v>Trat. 28/07 - DIADEMA</v>
          </cell>
          <cell r="T279">
            <v>7</v>
          </cell>
        </row>
        <row r="280">
          <cell r="A280">
            <v>9999305171</v>
          </cell>
          <cell r="B280" t="str">
            <v>65.111.08252-5</v>
          </cell>
          <cell r="C280" t="str">
            <v xml:space="preserve">SUPORTE TRAVA RM4                                   REV-01  </v>
          </cell>
          <cell r="D280" t="str">
            <v/>
          </cell>
          <cell r="E280" t="str">
            <v>KION IND E COM LT</v>
          </cell>
          <cell r="F280">
            <v>401</v>
          </cell>
          <cell r="G280">
            <v>44011</v>
          </cell>
          <cell r="H280">
            <v>668725</v>
          </cell>
          <cell r="I280" t="str">
            <v>K</v>
          </cell>
          <cell r="J280">
            <v>0</v>
          </cell>
          <cell r="K280">
            <v>100</v>
          </cell>
          <cell r="L280">
            <v>100</v>
          </cell>
          <cell r="N280">
            <v>100</v>
          </cell>
          <cell r="P280">
            <v>0</v>
          </cell>
          <cell r="Q280" t="str">
            <v>Trat. 28/07 - DIADEMA</v>
          </cell>
          <cell r="T280">
            <v>7</v>
          </cell>
        </row>
        <row r="281">
          <cell r="A281">
            <v>9999305172</v>
          </cell>
          <cell r="B281" t="str">
            <v>65.111.08252-5</v>
          </cell>
          <cell r="C281" t="str">
            <v xml:space="preserve">SUPORTE TRAVA RM4                                   REV-01  </v>
          </cell>
          <cell r="D281" t="str">
            <v/>
          </cell>
          <cell r="E281" t="str">
            <v>KION IND E COM LT</v>
          </cell>
          <cell r="F281">
            <v>401</v>
          </cell>
          <cell r="G281">
            <v>44011</v>
          </cell>
          <cell r="H281">
            <v>668725</v>
          </cell>
          <cell r="I281" t="str">
            <v>K</v>
          </cell>
          <cell r="J281">
            <v>0</v>
          </cell>
          <cell r="K281">
            <v>100</v>
          </cell>
          <cell r="L281">
            <v>100</v>
          </cell>
          <cell r="N281">
            <v>100</v>
          </cell>
          <cell r="P281">
            <v>0</v>
          </cell>
          <cell r="Q281" t="str">
            <v>Trat. 28/07 - DIADEMA</v>
          </cell>
          <cell r="T281">
            <v>7</v>
          </cell>
        </row>
        <row r="282">
          <cell r="A282">
            <v>9999305173</v>
          </cell>
          <cell r="B282" t="str">
            <v>65.111.08252-5</v>
          </cell>
          <cell r="C282" t="str">
            <v xml:space="preserve">SUPORTE TRAVA RM4                                   REV-01  </v>
          </cell>
          <cell r="D282" t="str">
            <v/>
          </cell>
          <cell r="E282" t="str">
            <v>KION IND E COM LT</v>
          </cell>
          <cell r="F282">
            <v>401</v>
          </cell>
          <cell r="G282">
            <v>44025</v>
          </cell>
          <cell r="H282">
            <v>668725</v>
          </cell>
          <cell r="I282" t="str">
            <v>K</v>
          </cell>
          <cell r="J282">
            <v>0</v>
          </cell>
          <cell r="K282">
            <v>100</v>
          </cell>
          <cell r="L282">
            <v>100</v>
          </cell>
          <cell r="N282">
            <v>100</v>
          </cell>
          <cell r="P282">
            <v>0</v>
          </cell>
          <cell r="Q282" t="str">
            <v>Trat. 28/07 - DIADEMA</v>
          </cell>
          <cell r="T282">
            <v>7</v>
          </cell>
        </row>
        <row r="283">
          <cell r="A283">
            <v>974310001</v>
          </cell>
          <cell r="B283" t="str">
            <v>65.111.06513-3</v>
          </cell>
          <cell r="C283" t="str">
            <v xml:space="preserve">CANALETA PROT 100MM ROHS                            REV-00  </v>
          </cell>
          <cell r="D283" t="str">
            <v/>
          </cell>
          <cell r="E283" t="str">
            <v>KION IND E COM LT</v>
          </cell>
          <cell r="F283">
            <v>401</v>
          </cell>
          <cell r="G283">
            <v>43913</v>
          </cell>
          <cell r="H283">
            <v>375976</v>
          </cell>
          <cell r="J283">
            <v>-133</v>
          </cell>
          <cell r="K283">
            <v>110</v>
          </cell>
          <cell r="L283">
            <v>2</v>
          </cell>
          <cell r="P283">
            <v>2</v>
          </cell>
          <cell r="Q283">
            <v>0</v>
          </cell>
          <cell r="T283" t="str">
            <v>S Con</v>
          </cell>
        </row>
        <row r="284">
          <cell r="A284">
            <v>982073972</v>
          </cell>
          <cell r="B284" t="str">
            <v>65.111.06595-9</v>
          </cell>
          <cell r="C284" t="str">
            <v xml:space="preserve">TRAVA FERROLHO PT TDE4500 SLIM ROHS                 REV-01  </v>
          </cell>
          <cell r="D284" t="str">
            <v/>
          </cell>
          <cell r="E284" t="str">
            <v>KION IND E COM LT</v>
          </cell>
          <cell r="F284">
            <v>401</v>
          </cell>
          <cell r="G284">
            <v>44060</v>
          </cell>
          <cell r="H284">
            <v>377859</v>
          </cell>
          <cell r="J284">
            <v>14</v>
          </cell>
          <cell r="K284">
            <v>200</v>
          </cell>
          <cell r="L284">
            <v>200</v>
          </cell>
          <cell r="P284">
            <v>200</v>
          </cell>
          <cell r="Q284" t="str">
            <v>Trat. 30/07 - ZF</v>
          </cell>
          <cell r="R284" t="str">
            <v>10/08 - A</v>
          </cell>
          <cell r="S284">
            <v>44067</v>
          </cell>
          <cell r="T284">
            <v>7</v>
          </cell>
        </row>
        <row r="285">
          <cell r="A285">
            <v>954584001</v>
          </cell>
          <cell r="B285" t="str">
            <v>65.111.06608-2</v>
          </cell>
          <cell r="C285" t="str">
            <v xml:space="preserve">SUPT CHAVE PACRI SEGURANCA PAIN OPTV REC FR GETNET  REV-00  </v>
          </cell>
          <cell r="D285" t="str">
            <v/>
          </cell>
          <cell r="E285" t="str">
            <v>KION IND E COM LT</v>
          </cell>
          <cell r="F285">
            <v>401</v>
          </cell>
          <cell r="G285">
            <v>43682</v>
          </cell>
          <cell r="H285">
            <v>372342</v>
          </cell>
          <cell r="J285">
            <v>-364</v>
          </cell>
          <cell r="K285">
            <v>145</v>
          </cell>
          <cell r="L285">
            <v>2</v>
          </cell>
          <cell r="P285">
            <v>2</v>
          </cell>
          <cell r="Q285">
            <v>0</v>
          </cell>
          <cell r="T285" t="str">
            <v>S Con</v>
          </cell>
        </row>
        <row r="286">
          <cell r="A286">
            <v>970602001</v>
          </cell>
          <cell r="B286" t="str">
            <v>65.111.06610-5</v>
          </cell>
          <cell r="C286" t="str">
            <v xml:space="preserve">SUPT CAMERA NUMERARIO D-VITEC OPTEVA RECIC FR GETNETREV-02  </v>
          </cell>
          <cell r="D286" t="str">
            <v/>
          </cell>
          <cell r="E286" t="str">
            <v>KION IND E COM LT</v>
          </cell>
          <cell r="F286">
            <v>401</v>
          </cell>
          <cell r="G286">
            <v>43899</v>
          </cell>
          <cell r="H286">
            <v>375327</v>
          </cell>
          <cell r="J286">
            <v>-147</v>
          </cell>
          <cell r="K286">
            <v>705</v>
          </cell>
          <cell r="L286">
            <v>1</v>
          </cell>
          <cell r="P286">
            <v>1</v>
          </cell>
          <cell r="Q286">
            <v>0</v>
          </cell>
          <cell r="T286" t="str">
            <v>S Con</v>
          </cell>
        </row>
        <row r="287">
          <cell r="A287">
            <v>978749001</v>
          </cell>
          <cell r="B287" t="str">
            <v>65.111.08253-2</v>
          </cell>
          <cell r="C287" t="str">
            <v>ALOJAMENTO EIXO BATENTE RM4                         REV-00</v>
          </cell>
          <cell r="D287" t="str">
            <v/>
          </cell>
          <cell r="E287" t="str">
            <v>KION IND E COM LT</v>
          </cell>
          <cell r="F287">
            <v>401</v>
          </cell>
          <cell r="G287">
            <v>44018</v>
          </cell>
          <cell r="H287">
            <v>376920</v>
          </cell>
          <cell r="J287">
            <v>0</v>
          </cell>
          <cell r="K287">
            <v>300</v>
          </cell>
          <cell r="L287">
            <v>50</v>
          </cell>
          <cell r="O287">
            <v>50</v>
          </cell>
          <cell r="P287">
            <v>0</v>
          </cell>
          <cell r="Q287" t="str">
            <v>Trat. 03/07 - 646p - ZF</v>
          </cell>
          <cell r="T287">
            <v>7</v>
          </cell>
        </row>
        <row r="288">
          <cell r="A288">
            <v>980490001</v>
          </cell>
          <cell r="B288" t="str">
            <v>65.111.08253-2</v>
          </cell>
          <cell r="C288" t="str">
            <v>ALOJAMENTO EIXO BATENTE RM4                         REV-00</v>
          </cell>
          <cell r="D288" t="str">
            <v/>
          </cell>
          <cell r="E288" t="str">
            <v>KION IND E COM LT</v>
          </cell>
          <cell r="F288">
            <v>401</v>
          </cell>
          <cell r="G288">
            <v>44025</v>
          </cell>
          <cell r="H288">
            <v>377203</v>
          </cell>
          <cell r="J288">
            <v>0</v>
          </cell>
          <cell r="K288">
            <v>350</v>
          </cell>
          <cell r="L288">
            <v>350</v>
          </cell>
          <cell r="O288">
            <v>350</v>
          </cell>
          <cell r="P288">
            <v>0</v>
          </cell>
          <cell r="Q288" t="str">
            <v>Trat. 03/07 - ZF</v>
          </cell>
          <cell r="T288">
            <v>7</v>
          </cell>
        </row>
        <row r="289">
          <cell r="A289">
            <v>978749002</v>
          </cell>
          <cell r="B289" t="str">
            <v>65.111.08253-2</v>
          </cell>
          <cell r="C289" t="str">
            <v>ALOJAMENTO EIXO BATENTE RM4                         REV-00</v>
          </cell>
          <cell r="D289" t="str">
            <v/>
          </cell>
          <cell r="E289" t="str">
            <v>KION IND E COM LT</v>
          </cell>
          <cell r="F289">
            <v>401</v>
          </cell>
          <cell r="G289">
            <v>44046</v>
          </cell>
          <cell r="H289">
            <v>376920</v>
          </cell>
          <cell r="J289">
            <v>0</v>
          </cell>
          <cell r="K289">
            <v>300</v>
          </cell>
          <cell r="L289">
            <v>300</v>
          </cell>
          <cell r="O289">
            <v>300</v>
          </cell>
          <cell r="P289">
            <v>0</v>
          </cell>
          <cell r="Q289" t="str">
            <v>Trat. 20/07 - 304p - ZF</v>
          </cell>
          <cell r="T289">
            <v>7</v>
          </cell>
        </row>
        <row r="290">
          <cell r="A290">
            <v>980756001</v>
          </cell>
          <cell r="B290" t="str">
            <v>65.111.06694-5</v>
          </cell>
          <cell r="C290" t="str">
            <v>TRAVA TAMPA SCANNER TFL 2013 ROHS                   REV-00</v>
          </cell>
          <cell r="D290" t="str">
            <v/>
          </cell>
          <cell r="E290" t="str">
            <v>KION IND E COM LT</v>
          </cell>
          <cell r="F290">
            <v>401</v>
          </cell>
          <cell r="G290">
            <v>44046</v>
          </cell>
          <cell r="H290">
            <v>377203</v>
          </cell>
          <cell r="J290">
            <v>0</v>
          </cell>
          <cell r="K290">
            <v>5700</v>
          </cell>
          <cell r="L290">
            <v>5700</v>
          </cell>
          <cell r="P290">
            <v>5700</v>
          </cell>
          <cell r="Q290" t="str">
            <v>OP 24/07 - FM</v>
          </cell>
          <cell r="S290">
            <v>44060</v>
          </cell>
          <cell r="T290">
            <v>6</v>
          </cell>
        </row>
        <row r="291">
          <cell r="A291">
            <v>999930760</v>
          </cell>
          <cell r="B291" t="str">
            <v>65.111.08278-5</v>
          </cell>
          <cell r="C291" t="str">
            <v xml:space="preserve">SUPORTE ESTEIRA CABOS IMPRESSORA RM4                REV-02  </v>
          </cell>
          <cell r="D291" t="str">
            <v/>
          </cell>
          <cell r="E291" t="str">
            <v>KION IND E COM LT</v>
          </cell>
          <cell r="F291">
            <v>401</v>
          </cell>
          <cell r="G291">
            <v>44004</v>
          </cell>
          <cell r="H291">
            <v>668725</v>
          </cell>
          <cell r="I291" t="str">
            <v>K</v>
          </cell>
          <cell r="J291">
            <v>0</v>
          </cell>
          <cell r="K291">
            <v>100</v>
          </cell>
          <cell r="L291">
            <v>100</v>
          </cell>
          <cell r="O291">
            <v>100</v>
          </cell>
          <cell r="P291">
            <v>0</v>
          </cell>
          <cell r="Q291" t="str">
            <v>Trat. 22/07 - 310p - DIADEMA</v>
          </cell>
          <cell r="T291">
            <v>7</v>
          </cell>
        </row>
        <row r="292">
          <cell r="A292">
            <v>999930761</v>
          </cell>
          <cell r="B292" t="str">
            <v>65.111.08278-5</v>
          </cell>
          <cell r="C292" t="str">
            <v xml:space="preserve">SUPORTE ESTEIRA CABOS IMPRESSORA RM4                REV-02  </v>
          </cell>
          <cell r="D292" t="str">
            <v/>
          </cell>
          <cell r="E292" t="str">
            <v>KION IND E COM LT</v>
          </cell>
          <cell r="F292">
            <v>401</v>
          </cell>
          <cell r="G292">
            <v>44011</v>
          </cell>
          <cell r="H292">
            <v>668725</v>
          </cell>
          <cell r="I292" t="str">
            <v>K</v>
          </cell>
          <cell r="J292">
            <v>0</v>
          </cell>
          <cell r="K292">
            <v>100</v>
          </cell>
          <cell r="L292">
            <v>100</v>
          </cell>
          <cell r="O292">
            <v>100</v>
          </cell>
          <cell r="P292">
            <v>0</v>
          </cell>
          <cell r="Q292" t="str">
            <v>Trat. 22/07 - DIADEMA</v>
          </cell>
          <cell r="T292">
            <v>7</v>
          </cell>
        </row>
        <row r="293">
          <cell r="A293">
            <v>999930762</v>
          </cell>
          <cell r="B293" t="str">
            <v>65.111.08278-5</v>
          </cell>
          <cell r="C293" t="str">
            <v xml:space="preserve">SUPORTE ESTEIRA CABOS IMPRESSORA RM4                REV-02  </v>
          </cell>
          <cell r="D293" t="str">
            <v/>
          </cell>
          <cell r="E293" t="str">
            <v>KION IND E COM LT</v>
          </cell>
          <cell r="F293">
            <v>401</v>
          </cell>
          <cell r="G293">
            <v>44025</v>
          </cell>
          <cell r="H293">
            <v>668725</v>
          </cell>
          <cell r="I293" t="str">
            <v>K</v>
          </cell>
          <cell r="J293">
            <v>0</v>
          </cell>
          <cell r="K293">
            <v>100</v>
          </cell>
          <cell r="L293">
            <v>100</v>
          </cell>
          <cell r="O293">
            <v>100</v>
          </cell>
          <cell r="P293">
            <v>0</v>
          </cell>
          <cell r="Q293" t="str">
            <v>Trat. 22/07 - DIADEMA</v>
          </cell>
          <cell r="T293">
            <v>7</v>
          </cell>
        </row>
        <row r="294">
          <cell r="A294">
            <v>980756002</v>
          </cell>
          <cell r="B294" t="str">
            <v>65.111.06694-5</v>
          </cell>
          <cell r="C294" t="str">
            <v>TRAVA TAMPA SCANNER TFL 2013 ROHS                   REV-00</v>
          </cell>
          <cell r="D294" t="str">
            <v/>
          </cell>
          <cell r="E294" t="str">
            <v>KION IND E COM LT</v>
          </cell>
          <cell r="F294">
            <v>401</v>
          </cell>
          <cell r="G294">
            <v>44060</v>
          </cell>
          <cell r="H294">
            <v>377203</v>
          </cell>
          <cell r="J294">
            <v>14</v>
          </cell>
          <cell r="K294">
            <v>1500</v>
          </cell>
          <cell r="L294">
            <v>1500</v>
          </cell>
          <cell r="P294">
            <v>1500</v>
          </cell>
          <cell r="Q294" t="str">
            <v>OP 24/07 - FM</v>
          </cell>
          <cell r="S294">
            <v>44074</v>
          </cell>
          <cell r="T294">
            <v>8</v>
          </cell>
        </row>
        <row r="295">
          <cell r="A295">
            <v>9999308104</v>
          </cell>
          <cell r="B295" t="str">
            <v>65.111.08282-2</v>
          </cell>
          <cell r="C295" t="str">
            <v xml:space="preserve">GUIA EIXO SEGURANCA PORTA GAB RM4                   REV-00  </v>
          </cell>
          <cell r="D295" t="str">
            <v/>
          </cell>
          <cell r="E295" t="str">
            <v>KION IND E COM LT</v>
          </cell>
          <cell r="F295">
            <v>401</v>
          </cell>
          <cell r="G295">
            <v>43983</v>
          </cell>
          <cell r="H295">
            <v>668725</v>
          </cell>
          <cell r="I295" t="str">
            <v>K</v>
          </cell>
          <cell r="J295">
            <v>0</v>
          </cell>
          <cell r="K295">
            <v>100</v>
          </cell>
          <cell r="L295">
            <v>100</v>
          </cell>
          <cell r="O295">
            <v>100</v>
          </cell>
          <cell r="P295">
            <v>0</v>
          </cell>
          <cell r="Q295" t="str">
            <v>Trat. 15/07 - 507p - DIADEMA</v>
          </cell>
          <cell r="T295">
            <v>7</v>
          </cell>
        </row>
        <row r="296">
          <cell r="A296">
            <v>9999308105</v>
          </cell>
          <cell r="B296" t="str">
            <v>65.111.08282-2</v>
          </cell>
          <cell r="C296" t="str">
            <v xml:space="preserve">GUIA EIXO SEGURANCA PORTA GAB RM4                   REV-00  </v>
          </cell>
          <cell r="D296" t="str">
            <v/>
          </cell>
          <cell r="E296" t="str">
            <v>KION IND E COM LT</v>
          </cell>
          <cell r="F296">
            <v>401</v>
          </cell>
          <cell r="G296">
            <v>43983</v>
          </cell>
          <cell r="H296">
            <v>668725</v>
          </cell>
          <cell r="I296" t="str">
            <v>K</v>
          </cell>
          <cell r="J296">
            <v>0</v>
          </cell>
          <cell r="K296">
            <v>100</v>
          </cell>
          <cell r="L296">
            <v>100</v>
          </cell>
          <cell r="O296">
            <v>100</v>
          </cell>
          <cell r="P296">
            <v>0</v>
          </cell>
          <cell r="Q296" t="str">
            <v>Trat. 15/07 - DIADEMA</v>
          </cell>
          <cell r="T296">
            <v>7</v>
          </cell>
        </row>
        <row r="297">
          <cell r="A297">
            <v>982086541</v>
          </cell>
          <cell r="B297" t="str">
            <v>65.111.06694-5</v>
          </cell>
          <cell r="C297" t="str">
            <v>TRAVA TAMPA SCANNER TFL 2013 ROHS                   REV-00</v>
          </cell>
          <cell r="D297" t="str">
            <v/>
          </cell>
          <cell r="E297" t="str">
            <v>KION IND E COM LT</v>
          </cell>
          <cell r="F297">
            <v>401</v>
          </cell>
          <cell r="G297">
            <v>44067</v>
          </cell>
          <cell r="H297">
            <v>377860</v>
          </cell>
          <cell r="J297">
            <v>21</v>
          </cell>
          <cell r="K297">
            <v>50</v>
          </cell>
          <cell r="L297">
            <v>50</v>
          </cell>
          <cell r="P297">
            <v>50</v>
          </cell>
          <cell r="Q297" t="str">
            <v>OP 24/07 - FM</v>
          </cell>
          <cell r="S297">
            <v>44081</v>
          </cell>
          <cell r="T297">
            <v>9</v>
          </cell>
        </row>
        <row r="298">
          <cell r="A298">
            <v>982074552</v>
          </cell>
          <cell r="B298" t="str">
            <v>65.111.06712-2</v>
          </cell>
          <cell r="C298" t="str">
            <v xml:space="preserve">BATENTE PAIN INF ROHS                               REV-00  </v>
          </cell>
          <cell r="D298" t="str">
            <v/>
          </cell>
          <cell r="E298" t="str">
            <v>KION IND E COM LT</v>
          </cell>
          <cell r="F298">
            <v>401</v>
          </cell>
          <cell r="G298">
            <v>44067</v>
          </cell>
          <cell r="H298">
            <v>377859</v>
          </cell>
          <cell r="J298">
            <v>21</v>
          </cell>
          <cell r="K298">
            <v>100</v>
          </cell>
          <cell r="L298">
            <v>100</v>
          </cell>
          <cell r="P298">
            <v>100</v>
          </cell>
          <cell r="Q298" t="str">
            <v>Trat. 28/07 - DIADEMA</v>
          </cell>
          <cell r="S298">
            <v>44081</v>
          </cell>
          <cell r="T298">
            <v>9</v>
          </cell>
        </row>
        <row r="299">
          <cell r="A299">
            <v>142214001</v>
          </cell>
          <cell r="B299" t="str">
            <v>65.111.06714-6</v>
          </cell>
          <cell r="C299" t="str">
            <v xml:space="preserve">FIXADOR NOBREAK SMART SAFE ROHS                     REV-00  </v>
          </cell>
          <cell r="D299" t="str">
            <v/>
          </cell>
          <cell r="E299" t="str">
            <v>KION IND E COM LT</v>
          </cell>
          <cell r="F299">
            <v>401</v>
          </cell>
          <cell r="G299">
            <v>42583</v>
          </cell>
          <cell r="H299">
            <v>356085</v>
          </cell>
          <cell r="J299">
            <v>-1463</v>
          </cell>
          <cell r="K299">
            <v>300</v>
          </cell>
          <cell r="L299">
            <v>2</v>
          </cell>
          <cell r="P299">
            <v>2</v>
          </cell>
          <cell r="Q299">
            <v>0</v>
          </cell>
          <cell r="T299" t="str">
            <v>S Con</v>
          </cell>
        </row>
        <row r="300">
          <cell r="A300">
            <v>999931162</v>
          </cell>
          <cell r="B300" t="str">
            <v>65.111.08289-1</v>
          </cell>
          <cell r="C300" t="str">
            <v xml:space="preserve">MANCAL ESQUERDO EIXO RM4                            REV-00  </v>
          </cell>
          <cell r="D300" t="str">
            <v/>
          </cell>
          <cell r="E300" t="str">
            <v>KION IND E COM LT</v>
          </cell>
          <cell r="F300">
            <v>401</v>
          </cell>
          <cell r="G300">
            <v>43997</v>
          </cell>
          <cell r="H300">
            <v>668725</v>
          </cell>
          <cell r="I300" t="str">
            <v>K</v>
          </cell>
          <cell r="J300">
            <v>0</v>
          </cell>
          <cell r="K300">
            <v>100</v>
          </cell>
          <cell r="L300">
            <v>100</v>
          </cell>
          <cell r="O300">
            <v>100</v>
          </cell>
          <cell r="P300">
            <v>0</v>
          </cell>
          <cell r="Q300" t="str">
            <v>Trat. 03/07 - ZF</v>
          </cell>
          <cell r="T300">
            <v>7</v>
          </cell>
        </row>
        <row r="301">
          <cell r="A301">
            <v>999931163</v>
          </cell>
          <cell r="B301" t="str">
            <v>65.111.08289-1</v>
          </cell>
          <cell r="C301" t="str">
            <v xml:space="preserve">MANCAL ESQUERDO EIXO RM4                            REV-00  </v>
          </cell>
          <cell r="D301" t="str">
            <v/>
          </cell>
          <cell r="E301" t="str">
            <v>KION IND E COM LT</v>
          </cell>
          <cell r="F301">
            <v>401</v>
          </cell>
          <cell r="G301">
            <v>44011</v>
          </cell>
          <cell r="H301">
            <v>668725</v>
          </cell>
          <cell r="I301" t="str">
            <v>K</v>
          </cell>
          <cell r="J301">
            <v>0</v>
          </cell>
          <cell r="K301">
            <v>100</v>
          </cell>
          <cell r="L301">
            <v>100</v>
          </cell>
          <cell r="N301">
            <v>100</v>
          </cell>
          <cell r="P301">
            <v>0</v>
          </cell>
          <cell r="Q301" t="str">
            <v>Trat. 03/07 - ZF</v>
          </cell>
          <cell r="T301">
            <v>7</v>
          </cell>
        </row>
        <row r="302">
          <cell r="A302">
            <v>999931164</v>
          </cell>
          <cell r="B302" t="str">
            <v>65.111.08289-1</v>
          </cell>
          <cell r="C302" t="str">
            <v xml:space="preserve">MANCAL ESQUERDO EIXO RM4                            REV-00  </v>
          </cell>
          <cell r="D302" t="str">
            <v/>
          </cell>
          <cell r="E302" t="str">
            <v>KION IND E COM LT</v>
          </cell>
          <cell r="F302">
            <v>401</v>
          </cell>
          <cell r="G302">
            <v>44011</v>
          </cell>
          <cell r="H302">
            <v>668725</v>
          </cell>
          <cell r="I302" t="str">
            <v>K</v>
          </cell>
          <cell r="J302">
            <v>0</v>
          </cell>
          <cell r="K302">
            <v>100</v>
          </cell>
          <cell r="L302">
            <v>100</v>
          </cell>
          <cell r="N302">
            <v>100</v>
          </cell>
          <cell r="P302">
            <v>0</v>
          </cell>
          <cell r="Q302" t="str">
            <v>Trat. 03/07 - ZF</v>
          </cell>
          <cell r="T302">
            <v>7</v>
          </cell>
        </row>
        <row r="303">
          <cell r="A303">
            <v>982074562</v>
          </cell>
          <cell r="B303" t="str">
            <v>65.111.06715-3</v>
          </cell>
          <cell r="C303" t="str">
            <v xml:space="preserve">BATENTE PAIN SUP ROHS                               REV-00  </v>
          </cell>
          <cell r="D303" t="str">
            <v/>
          </cell>
          <cell r="E303" t="str">
            <v>KION IND E COM LT</v>
          </cell>
          <cell r="F303">
            <v>401</v>
          </cell>
          <cell r="G303">
            <v>44067</v>
          </cell>
          <cell r="H303">
            <v>377859</v>
          </cell>
          <cell r="J303">
            <v>21</v>
          </cell>
          <cell r="K303">
            <v>100</v>
          </cell>
          <cell r="L303">
            <v>100</v>
          </cell>
          <cell r="P303">
            <v>100</v>
          </cell>
          <cell r="Q303" t="str">
            <v>Trat. 29/07 - ZF</v>
          </cell>
          <cell r="S303">
            <v>44081</v>
          </cell>
          <cell r="T303">
            <v>9</v>
          </cell>
        </row>
        <row r="304">
          <cell r="A304">
            <v>999931561</v>
          </cell>
          <cell r="B304" t="str">
            <v>65.111.08314-6</v>
          </cell>
          <cell r="C304" t="str">
            <v xml:space="preserve">TAMPA FIX CAR CORTA VIDEO +12V ROHS                 REV-00  </v>
          </cell>
          <cell r="D304" t="str">
            <v>29-009105-000D</v>
          </cell>
          <cell r="E304" t="str">
            <v>KION IND E COM LT</v>
          </cell>
          <cell r="F304">
            <v>401</v>
          </cell>
          <cell r="G304">
            <v>44011</v>
          </cell>
          <cell r="H304">
            <v>668725</v>
          </cell>
          <cell r="I304" t="str">
            <v>K</v>
          </cell>
          <cell r="J304">
            <v>0</v>
          </cell>
          <cell r="K304">
            <v>100</v>
          </cell>
          <cell r="L304">
            <v>100</v>
          </cell>
          <cell r="N304">
            <v>100</v>
          </cell>
          <cell r="P304">
            <v>0</v>
          </cell>
          <cell r="Q304" t="str">
            <v>Trat. 23/07 - 311p - DIADEMA</v>
          </cell>
          <cell r="T304">
            <v>7</v>
          </cell>
        </row>
        <row r="305">
          <cell r="A305">
            <v>999931562</v>
          </cell>
          <cell r="B305" t="str">
            <v>65.111.08314-6</v>
          </cell>
          <cell r="C305" t="str">
            <v xml:space="preserve">TAMPA FIX CAR CORTA VIDEO +12V ROHS                 REV-00  </v>
          </cell>
          <cell r="D305" t="str">
            <v>29-009105-000D</v>
          </cell>
          <cell r="E305" t="str">
            <v>KION IND E COM LT</v>
          </cell>
          <cell r="F305">
            <v>401</v>
          </cell>
          <cell r="G305">
            <v>44011</v>
          </cell>
          <cell r="H305">
            <v>668725</v>
          </cell>
          <cell r="I305" t="str">
            <v>K</v>
          </cell>
          <cell r="J305">
            <v>0</v>
          </cell>
          <cell r="K305">
            <v>100</v>
          </cell>
          <cell r="L305">
            <v>100</v>
          </cell>
          <cell r="N305">
            <v>100</v>
          </cell>
          <cell r="P305">
            <v>0</v>
          </cell>
          <cell r="Q305" t="str">
            <v>Trat. 23/07 - DIADEMA</v>
          </cell>
          <cell r="T305">
            <v>7</v>
          </cell>
        </row>
        <row r="306">
          <cell r="A306">
            <v>999931563</v>
          </cell>
          <cell r="B306" t="str">
            <v>65.111.08314-6</v>
          </cell>
          <cell r="C306" t="str">
            <v xml:space="preserve">TAMPA FIX CAR CORTA VIDEO +12V ROHS                 REV-00  </v>
          </cell>
          <cell r="D306" t="str">
            <v>29-009105-000D</v>
          </cell>
          <cell r="E306" t="str">
            <v>KION IND E COM LT</v>
          </cell>
          <cell r="F306">
            <v>401</v>
          </cell>
          <cell r="G306">
            <v>44025</v>
          </cell>
          <cell r="H306">
            <v>668725</v>
          </cell>
          <cell r="I306" t="str">
            <v>K</v>
          </cell>
          <cell r="J306">
            <v>0</v>
          </cell>
          <cell r="K306">
            <v>100</v>
          </cell>
          <cell r="L306">
            <v>100</v>
          </cell>
          <cell r="N306">
            <v>100</v>
          </cell>
          <cell r="P306">
            <v>0</v>
          </cell>
          <cell r="Q306" t="str">
            <v>Trat. 23/07 - DIADEMA</v>
          </cell>
          <cell r="T306">
            <v>7</v>
          </cell>
        </row>
        <row r="307">
          <cell r="A307">
            <v>982074582</v>
          </cell>
          <cell r="B307" t="str">
            <v>65.111.06717-7</v>
          </cell>
          <cell r="C307" t="str">
            <v xml:space="preserve">SUPORTE ART TMP IMP ROHS                            REV-00  </v>
          </cell>
          <cell r="D307" t="str">
            <v/>
          </cell>
          <cell r="E307" t="str">
            <v>KION IND E COM LT</v>
          </cell>
          <cell r="F307">
            <v>401</v>
          </cell>
          <cell r="G307">
            <v>44060</v>
          </cell>
          <cell r="H307">
            <v>377859</v>
          </cell>
          <cell r="J307">
            <v>14</v>
          </cell>
          <cell r="K307">
            <v>200</v>
          </cell>
          <cell r="L307">
            <v>200</v>
          </cell>
          <cell r="P307">
            <v>200</v>
          </cell>
          <cell r="Q307" t="str">
            <v>Trat. 29/07 - ZF</v>
          </cell>
          <cell r="R307" t="str">
            <v>10/08 - A</v>
          </cell>
          <cell r="S307">
            <v>44067</v>
          </cell>
          <cell r="T307">
            <v>7</v>
          </cell>
        </row>
        <row r="308">
          <cell r="A308">
            <v>982074661</v>
          </cell>
          <cell r="B308" t="str">
            <v>65.111.06726-9</v>
          </cell>
          <cell r="C308" t="str">
            <v>OMEGA FONTES ALIM DCASH ROHS                        REV-02</v>
          </cell>
          <cell r="D308" t="str">
            <v/>
          </cell>
          <cell r="E308" t="str">
            <v>KION IND E COM LT</v>
          </cell>
          <cell r="F308">
            <v>401</v>
          </cell>
          <cell r="G308">
            <v>44046</v>
          </cell>
          <cell r="H308">
            <v>377859</v>
          </cell>
          <cell r="J308">
            <v>0</v>
          </cell>
          <cell r="K308">
            <v>150</v>
          </cell>
          <cell r="L308">
            <v>150</v>
          </cell>
          <cell r="P308">
            <v>150</v>
          </cell>
          <cell r="Q308" t="str">
            <v>Trat. 10/08 - 252p - DIADEMA</v>
          </cell>
          <cell r="S308">
            <v>44060</v>
          </cell>
          <cell r="T308">
            <v>6</v>
          </cell>
        </row>
        <row r="309">
          <cell r="A309">
            <v>982074662</v>
          </cell>
          <cell r="B309" t="str">
            <v>65.111.06726-9</v>
          </cell>
          <cell r="C309" t="str">
            <v>OMEGA FONTES ALIM DCASH ROHS                        REV-02</v>
          </cell>
          <cell r="D309" t="str">
            <v/>
          </cell>
          <cell r="E309" t="str">
            <v>KION IND E COM LT</v>
          </cell>
          <cell r="F309">
            <v>401</v>
          </cell>
          <cell r="G309">
            <v>44067</v>
          </cell>
          <cell r="H309">
            <v>377859</v>
          </cell>
          <cell r="J309">
            <v>21</v>
          </cell>
          <cell r="K309">
            <v>100</v>
          </cell>
          <cell r="L309">
            <v>100</v>
          </cell>
          <cell r="P309">
            <v>100</v>
          </cell>
          <cell r="Q309" t="str">
            <v>Trat. 10/08 - DIADEMA</v>
          </cell>
          <cell r="S309">
            <v>44081</v>
          </cell>
          <cell r="T309">
            <v>9</v>
          </cell>
        </row>
        <row r="310">
          <cell r="A310">
            <v>982074592</v>
          </cell>
          <cell r="B310" t="str">
            <v>65.111.06729-0</v>
          </cell>
          <cell r="C310" t="str">
            <v xml:space="preserve">SUPT ARTICULADOR PAIN INF INOX ROHS                 REV-00  </v>
          </cell>
          <cell r="D310" t="str">
            <v/>
          </cell>
          <cell r="E310" t="str">
            <v>KION IND E COM LT</v>
          </cell>
          <cell r="F310">
            <v>401</v>
          </cell>
          <cell r="G310">
            <v>44067</v>
          </cell>
          <cell r="H310">
            <v>377859</v>
          </cell>
          <cell r="J310">
            <v>21</v>
          </cell>
          <cell r="K310">
            <v>200</v>
          </cell>
          <cell r="L310">
            <v>200</v>
          </cell>
          <cell r="P310">
            <v>200</v>
          </cell>
          <cell r="Q310" t="str">
            <v>Trat. 28/07 - DIADEMA</v>
          </cell>
          <cell r="S310">
            <v>44081</v>
          </cell>
          <cell r="T310">
            <v>9</v>
          </cell>
        </row>
        <row r="311">
          <cell r="A311">
            <v>982074682</v>
          </cell>
          <cell r="B311" t="str">
            <v>65.111.06731-3</v>
          </cell>
          <cell r="C311" t="str">
            <v xml:space="preserve">COMP DIR BRAﾇO ARTIC PAIN SUP ROHS                  REV-00  </v>
          </cell>
          <cell r="D311" t="str">
            <v/>
          </cell>
          <cell r="E311" t="str">
            <v>KION IND E COM LT</v>
          </cell>
          <cell r="F311">
            <v>401</v>
          </cell>
          <cell r="G311">
            <v>44060</v>
          </cell>
          <cell r="H311">
            <v>377859</v>
          </cell>
          <cell r="J311">
            <v>14</v>
          </cell>
          <cell r="K311">
            <v>100</v>
          </cell>
          <cell r="L311">
            <v>100</v>
          </cell>
          <cell r="P311">
            <v>100</v>
          </cell>
          <cell r="Q311" t="str">
            <v>Trat. 28/07 - DIADEMA</v>
          </cell>
          <cell r="R311" t="str">
            <v>10/08 - A</v>
          </cell>
          <cell r="S311">
            <v>44067</v>
          </cell>
          <cell r="T311">
            <v>7</v>
          </cell>
        </row>
        <row r="312">
          <cell r="A312">
            <v>982074683</v>
          </cell>
          <cell r="B312" t="str">
            <v>65.111.06731-3</v>
          </cell>
          <cell r="C312" t="str">
            <v xml:space="preserve">COMP DIR BRAﾇO ARTIC PAIN SUP ROHS                  REV-00  </v>
          </cell>
          <cell r="D312" t="str">
            <v/>
          </cell>
          <cell r="E312" t="str">
            <v>KION IND E COM LT</v>
          </cell>
          <cell r="F312">
            <v>401</v>
          </cell>
          <cell r="G312">
            <v>44067</v>
          </cell>
          <cell r="H312">
            <v>377859</v>
          </cell>
          <cell r="J312">
            <v>21</v>
          </cell>
          <cell r="K312">
            <v>100</v>
          </cell>
          <cell r="L312">
            <v>100</v>
          </cell>
          <cell r="P312">
            <v>100</v>
          </cell>
          <cell r="Q312" t="str">
            <v>Trat. 28/07 - DIADEMA</v>
          </cell>
          <cell r="S312">
            <v>44081</v>
          </cell>
          <cell r="T312">
            <v>9</v>
          </cell>
        </row>
        <row r="313">
          <cell r="A313">
            <v>982074692</v>
          </cell>
          <cell r="B313" t="str">
            <v>65.111.06732-0</v>
          </cell>
          <cell r="C313" t="str">
            <v xml:space="preserve">COMP ESQ BRAﾇO ARTIC PAIN SUP ROHS                  REV-00  </v>
          </cell>
          <cell r="D313" t="str">
            <v/>
          </cell>
          <cell r="E313" t="str">
            <v>KION IND E COM LT</v>
          </cell>
          <cell r="F313">
            <v>401</v>
          </cell>
          <cell r="G313">
            <v>44060</v>
          </cell>
          <cell r="H313">
            <v>377859</v>
          </cell>
          <cell r="J313">
            <v>14</v>
          </cell>
          <cell r="K313">
            <v>100</v>
          </cell>
          <cell r="L313">
            <v>100</v>
          </cell>
          <cell r="P313">
            <v>100</v>
          </cell>
          <cell r="Q313" t="str">
            <v>Trat. 28/07 - DIADEMA</v>
          </cell>
          <cell r="R313" t="str">
            <v>10/08 - A</v>
          </cell>
          <cell r="S313">
            <v>44067</v>
          </cell>
          <cell r="T313">
            <v>7</v>
          </cell>
        </row>
        <row r="314">
          <cell r="A314">
            <v>982074693</v>
          </cell>
          <cell r="B314" t="str">
            <v>65.111.06732-0</v>
          </cell>
          <cell r="C314" t="str">
            <v xml:space="preserve">COMP ESQ BRAﾇO ARTIC PAIN SUP ROHS                  REV-00  </v>
          </cell>
          <cell r="D314" t="str">
            <v/>
          </cell>
          <cell r="E314" t="str">
            <v>KION IND E COM LT</v>
          </cell>
          <cell r="F314">
            <v>401</v>
          </cell>
          <cell r="G314">
            <v>44067</v>
          </cell>
          <cell r="H314">
            <v>377859</v>
          </cell>
          <cell r="J314">
            <v>21</v>
          </cell>
          <cell r="K314">
            <v>100</v>
          </cell>
          <cell r="L314">
            <v>100</v>
          </cell>
          <cell r="P314">
            <v>100</v>
          </cell>
          <cell r="Q314" t="str">
            <v>Trat. 28/07 - DIADEMA</v>
          </cell>
          <cell r="S314">
            <v>44081</v>
          </cell>
          <cell r="T314">
            <v>9</v>
          </cell>
        </row>
        <row r="315">
          <cell r="A315">
            <v>982074701</v>
          </cell>
          <cell r="B315" t="str">
            <v>65.111.06733-7</v>
          </cell>
          <cell r="C315" t="str">
            <v xml:space="preserve">SUPT FIX BASE AMORT SMART SAFE ROHS                 REV-03  </v>
          </cell>
          <cell r="D315" t="str">
            <v>29-009103-000B</v>
          </cell>
          <cell r="E315" t="str">
            <v>KION IND E COM LT</v>
          </cell>
          <cell r="F315">
            <v>401</v>
          </cell>
          <cell r="G315">
            <v>44046</v>
          </cell>
          <cell r="H315">
            <v>377859</v>
          </cell>
          <cell r="J315">
            <v>0</v>
          </cell>
          <cell r="K315">
            <v>150</v>
          </cell>
          <cell r="L315">
            <v>150</v>
          </cell>
          <cell r="P315">
            <v>150</v>
          </cell>
          <cell r="Q315" t="str">
            <v>OP 24/07 - FM</v>
          </cell>
          <cell r="S315">
            <v>44060</v>
          </cell>
          <cell r="T315">
            <v>6</v>
          </cell>
        </row>
        <row r="316">
          <cell r="A316">
            <v>982074702</v>
          </cell>
          <cell r="B316" t="str">
            <v>65.111.06733-7</v>
          </cell>
          <cell r="C316" t="str">
            <v xml:space="preserve">SUPT FIX BASE AMORT SMART SAFE ROHS                 REV-03  </v>
          </cell>
          <cell r="D316" t="str">
            <v>29-009103-000B</v>
          </cell>
          <cell r="E316" t="str">
            <v>KION IND E COM LT</v>
          </cell>
          <cell r="F316">
            <v>401</v>
          </cell>
          <cell r="G316">
            <v>44060</v>
          </cell>
          <cell r="H316">
            <v>377859</v>
          </cell>
          <cell r="J316">
            <v>14</v>
          </cell>
          <cell r="K316">
            <v>100</v>
          </cell>
          <cell r="L316">
            <v>100</v>
          </cell>
          <cell r="P316">
            <v>100</v>
          </cell>
          <cell r="Q316" t="str">
            <v>OP 24/07 - FM</v>
          </cell>
          <cell r="S316">
            <v>44081</v>
          </cell>
          <cell r="T316">
            <v>9</v>
          </cell>
        </row>
        <row r="317">
          <cell r="A317">
            <v>982074703</v>
          </cell>
          <cell r="B317" t="str">
            <v>65.111.06733-7</v>
          </cell>
          <cell r="C317" t="str">
            <v xml:space="preserve">SUPT FIX BASE AMORT SMART SAFE ROHS                 REV-03  </v>
          </cell>
          <cell r="D317" t="str">
            <v>29-009103-000B</v>
          </cell>
          <cell r="E317" t="str">
            <v>KION IND E COM LT</v>
          </cell>
          <cell r="F317">
            <v>401</v>
          </cell>
          <cell r="G317">
            <v>44067</v>
          </cell>
          <cell r="H317">
            <v>377859</v>
          </cell>
          <cell r="J317">
            <v>21</v>
          </cell>
          <cell r="K317">
            <v>50</v>
          </cell>
          <cell r="L317">
            <v>50</v>
          </cell>
          <cell r="P317">
            <v>50</v>
          </cell>
          <cell r="Q317" t="str">
            <v>OP 24/07 - FM</v>
          </cell>
          <cell r="S317">
            <v>44088</v>
          </cell>
          <cell r="T317">
            <v>10</v>
          </cell>
        </row>
        <row r="318">
          <cell r="A318">
            <v>982074602</v>
          </cell>
          <cell r="B318" t="str">
            <v>65.111.06748-1</v>
          </cell>
          <cell r="C318" t="str">
            <v>ARTIC PNL INOX IMP DCASH ROHS                       REV-02</v>
          </cell>
          <cell r="D318" t="str">
            <v/>
          </cell>
          <cell r="E318" t="str">
            <v>KION IND E COM LT</v>
          </cell>
          <cell r="F318">
            <v>401</v>
          </cell>
          <cell r="G318">
            <v>44060</v>
          </cell>
          <cell r="H318">
            <v>377859</v>
          </cell>
          <cell r="J318">
            <v>14</v>
          </cell>
          <cell r="K318">
            <v>100</v>
          </cell>
          <cell r="L318">
            <v>100</v>
          </cell>
          <cell r="P318">
            <v>100</v>
          </cell>
          <cell r="Q318" t="str">
            <v>Trat. 03/08 - DIADEMA</v>
          </cell>
          <cell r="S318">
            <v>44067</v>
          </cell>
          <cell r="T318">
            <v>7</v>
          </cell>
        </row>
        <row r="319">
          <cell r="A319">
            <v>982074603</v>
          </cell>
          <cell r="B319" t="str">
            <v>65.111.06748-1</v>
          </cell>
          <cell r="C319" t="str">
            <v>ARTIC PNL INOX IMP DCASH ROHS                       REV-02</v>
          </cell>
          <cell r="D319" t="str">
            <v/>
          </cell>
          <cell r="E319" t="str">
            <v>KION IND E COM LT</v>
          </cell>
          <cell r="F319">
            <v>401</v>
          </cell>
          <cell r="G319">
            <v>44067</v>
          </cell>
          <cell r="H319">
            <v>377859</v>
          </cell>
          <cell r="J319">
            <v>21</v>
          </cell>
          <cell r="K319">
            <v>100</v>
          </cell>
          <cell r="L319">
            <v>100</v>
          </cell>
          <cell r="P319">
            <v>100</v>
          </cell>
          <cell r="Q319" t="str">
            <v>Trat. 03/08 - DIADEMA</v>
          </cell>
          <cell r="S319">
            <v>44081</v>
          </cell>
          <cell r="T319">
            <v>9</v>
          </cell>
        </row>
        <row r="320">
          <cell r="A320">
            <v>982074601</v>
          </cell>
          <cell r="B320" t="str">
            <v>65.111.06748-1</v>
          </cell>
          <cell r="C320" t="str">
            <v>ARTIC PNL INOX IMP DCASH ROHS                       REV-02</v>
          </cell>
          <cell r="D320" t="str">
            <v/>
          </cell>
          <cell r="E320" t="str">
            <v>KION IND E COM LT</v>
          </cell>
          <cell r="F320">
            <v>401</v>
          </cell>
          <cell r="G320">
            <v>44046</v>
          </cell>
          <cell r="H320">
            <v>377859</v>
          </cell>
          <cell r="J320">
            <v>0</v>
          </cell>
          <cell r="K320">
            <v>150</v>
          </cell>
          <cell r="L320">
            <v>150</v>
          </cell>
          <cell r="P320">
            <v>150</v>
          </cell>
          <cell r="Q320" t="str">
            <v>material em tratamento superficial - previsão de entrega até 07/08</v>
          </cell>
          <cell r="S320">
            <v>44046</v>
          </cell>
          <cell r="T320">
            <v>4</v>
          </cell>
        </row>
        <row r="321">
          <cell r="A321">
            <v>948725001</v>
          </cell>
          <cell r="B321" t="str">
            <v>65.111.06754-2</v>
          </cell>
          <cell r="C321" t="str">
            <v>SUPORTE IMAS PORTA AFD DISSUASAO                    REV-00</v>
          </cell>
          <cell r="D321" t="str">
            <v/>
          </cell>
          <cell r="E321" t="str">
            <v>KION IND E COM LT</v>
          </cell>
          <cell r="F321">
            <v>401</v>
          </cell>
          <cell r="G321">
            <v>43514</v>
          </cell>
          <cell r="H321">
            <v>371196</v>
          </cell>
          <cell r="J321">
            <v>-532</v>
          </cell>
          <cell r="K321">
            <v>20</v>
          </cell>
          <cell r="L321">
            <v>20</v>
          </cell>
          <cell r="P321">
            <v>20</v>
          </cell>
          <cell r="Q321" t="str">
            <v>EST OK</v>
          </cell>
          <cell r="T321" t="str">
            <v>S Con</v>
          </cell>
        </row>
        <row r="322">
          <cell r="A322">
            <v>974308001</v>
          </cell>
          <cell r="B322" t="str">
            <v>65.111.06805-7</v>
          </cell>
          <cell r="C322" t="str">
            <v>SUP FIX LED ATM4500 ROHS                            REV-02</v>
          </cell>
          <cell r="D322" t="str">
            <v/>
          </cell>
          <cell r="E322" t="str">
            <v>KION IND E COM LT</v>
          </cell>
          <cell r="F322">
            <v>401</v>
          </cell>
          <cell r="G322">
            <v>44039</v>
          </cell>
          <cell r="H322">
            <v>375976</v>
          </cell>
          <cell r="J322">
            <v>-7</v>
          </cell>
          <cell r="K322">
            <v>110</v>
          </cell>
          <cell r="L322">
            <v>110</v>
          </cell>
          <cell r="P322">
            <v>110</v>
          </cell>
          <cell r="Q322">
            <v>0</v>
          </cell>
          <cell r="S322" t="str">
            <v>DF</v>
          </cell>
          <cell r="T322" t="str">
            <v>DF</v>
          </cell>
        </row>
        <row r="323">
          <cell r="A323">
            <v>979093001</v>
          </cell>
          <cell r="B323" t="str">
            <v>65.111.06805-7</v>
          </cell>
          <cell r="C323" t="str">
            <v>SUP FIX LED ATM4500 ROHS                            REV-02</v>
          </cell>
          <cell r="D323" t="str">
            <v/>
          </cell>
          <cell r="E323" t="str">
            <v>KION IND E COM LT</v>
          </cell>
          <cell r="F323">
            <v>401</v>
          </cell>
          <cell r="G323">
            <v>44088</v>
          </cell>
          <cell r="H323">
            <v>376920</v>
          </cell>
          <cell r="J323">
            <v>42</v>
          </cell>
          <cell r="K323">
            <v>90</v>
          </cell>
          <cell r="L323">
            <v>90</v>
          </cell>
          <cell r="P323">
            <v>90</v>
          </cell>
          <cell r="Q323" t="str">
            <v/>
          </cell>
          <cell r="S323" t="str">
            <v>DF</v>
          </cell>
          <cell r="T323" t="str">
            <v>DF</v>
          </cell>
        </row>
        <row r="324">
          <cell r="A324">
            <v>982093541</v>
          </cell>
          <cell r="B324" t="str">
            <v>65.111.06805-7</v>
          </cell>
          <cell r="C324" t="str">
            <v>SUP FIX LED ATM4500 ROHS                            REV-02</v>
          </cell>
          <cell r="D324" t="str">
            <v/>
          </cell>
          <cell r="E324" t="str">
            <v>KION IND E COM LT</v>
          </cell>
          <cell r="F324">
            <v>401</v>
          </cell>
          <cell r="G324">
            <v>44137</v>
          </cell>
          <cell r="H324">
            <v>378015</v>
          </cell>
          <cell r="J324">
            <v>91</v>
          </cell>
          <cell r="K324">
            <v>50</v>
          </cell>
          <cell r="L324">
            <v>50</v>
          </cell>
          <cell r="P324">
            <v>50</v>
          </cell>
          <cell r="Q324" t="str">
            <v/>
          </cell>
          <cell r="S324" t="str">
            <v>DF</v>
          </cell>
          <cell r="T324" t="str">
            <v>DF</v>
          </cell>
        </row>
        <row r="325">
          <cell r="A325">
            <v>976235001</v>
          </cell>
          <cell r="B325" t="str">
            <v>65.111.06812-5</v>
          </cell>
          <cell r="C325" t="str">
            <v xml:space="preserve">CHAPA TRAVA BASE DIP ROHS                           REV-01  </v>
          </cell>
          <cell r="D325" t="str">
            <v/>
          </cell>
          <cell r="E325" t="str">
            <v>KION IND E COM LT</v>
          </cell>
          <cell r="F325">
            <v>401</v>
          </cell>
          <cell r="G325">
            <v>43955</v>
          </cell>
          <cell r="H325">
            <v>376304</v>
          </cell>
          <cell r="J325">
            <v>-91</v>
          </cell>
          <cell r="K325">
            <v>100</v>
          </cell>
          <cell r="L325">
            <v>1</v>
          </cell>
          <cell r="P325">
            <v>1</v>
          </cell>
          <cell r="Q325" t="str">
            <v>Trat. 03/08 - 203p - DIADEMA</v>
          </cell>
          <cell r="S325">
            <v>44081</v>
          </cell>
          <cell r="T325">
            <v>9</v>
          </cell>
        </row>
        <row r="326">
          <cell r="A326">
            <v>982088981</v>
          </cell>
          <cell r="B326" t="str">
            <v>65.111.06812-5</v>
          </cell>
          <cell r="C326" t="str">
            <v xml:space="preserve">CHAPA TRAVA BASE DIP ROHS                           REV-01  </v>
          </cell>
          <cell r="D326" t="str">
            <v/>
          </cell>
          <cell r="E326" t="str">
            <v>KION IND E COM LT</v>
          </cell>
          <cell r="F326">
            <v>401</v>
          </cell>
          <cell r="G326">
            <v>44088</v>
          </cell>
          <cell r="H326">
            <v>377860</v>
          </cell>
          <cell r="J326">
            <v>42</v>
          </cell>
          <cell r="K326">
            <v>100</v>
          </cell>
          <cell r="L326">
            <v>100</v>
          </cell>
          <cell r="P326">
            <v>100</v>
          </cell>
          <cell r="Q326" t="str">
            <v/>
          </cell>
          <cell r="S326" t="str">
            <v>DF</v>
          </cell>
          <cell r="T326" t="str">
            <v>DF</v>
          </cell>
        </row>
        <row r="327">
          <cell r="A327">
            <v>982088982</v>
          </cell>
          <cell r="B327" t="str">
            <v>65.111.06812-5</v>
          </cell>
          <cell r="C327" t="str">
            <v xml:space="preserve">CHAPA TRAVA BASE DIP ROHS                           REV-01  </v>
          </cell>
          <cell r="D327" t="str">
            <v/>
          </cell>
          <cell r="E327" t="str">
            <v>KION IND E COM LT</v>
          </cell>
          <cell r="F327">
            <v>401</v>
          </cell>
          <cell r="G327">
            <v>44116</v>
          </cell>
          <cell r="H327">
            <v>377860</v>
          </cell>
          <cell r="J327">
            <v>70</v>
          </cell>
          <cell r="K327">
            <v>100</v>
          </cell>
          <cell r="L327">
            <v>100</v>
          </cell>
          <cell r="P327">
            <v>100</v>
          </cell>
          <cell r="Q327" t="str">
            <v/>
          </cell>
          <cell r="S327" t="str">
            <v>DF</v>
          </cell>
          <cell r="T327" t="str">
            <v>DF</v>
          </cell>
        </row>
        <row r="328">
          <cell r="A328">
            <v>974314001</v>
          </cell>
          <cell r="B328" t="str">
            <v>65.111.06812-5</v>
          </cell>
          <cell r="C328" t="str">
            <v xml:space="preserve">CHAPA TRAVA BASE DIP ROHS                           REV-01  </v>
          </cell>
          <cell r="D328" t="str">
            <v/>
          </cell>
          <cell r="E328" t="str">
            <v>KION IND E COM LT</v>
          </cell>
          <cell r="F328">
            <v>401</v>
          </cell>
          <cell r="G328">
            <v>44039</v>
          </cell>
          <cell r="H328">
            <v>375976</v>
          </cell>
          <cell r="J328">
            <v>-7</v>
          </cell>
          <cell r="K328">
            <v>110</v>
          </cell>
          <cell r="L328">
            <v>110</v>
          </cell>
          <cell r="P328">
            <v>110</v>
          </cell>
          <cell r="Q328" t="str">
            <v>Trat. 03/08 - DIADEMA</v>
          </cell>
          <cell r="S328" t="str">
            <v>DF</v>
          </cell>
          <cell r="T328" t="str">
            <v>DF</v>
          </cell>
        </row>
        <row r="329">
          <cell r="A329">
            <v>979105001</v>
          </cell>
          <cell r="B329" t="str">
            <v>65.111.06812-5</v>
          </cell>
          <cell r="C329" t="str">
            <v xml:space="preserve">CHAPA TRAVA BASE DIP ROHS                           REV-01  </v>
          </cell>
          <cell r="D329" t="str">
            <v/>
          </cell>
          <cell r="E329" t="str">
            <v>KION IND E COM LT</v>
          </cell>
          <cell r="F329">
            <v>401</v>
          </cell>
          <cell r="G329">
            <v>44088</v>
          </cell>
          <cell r="H329">
            <v>376920</v>
          </cell>
          <cell r="J329">
            <v>42</v>
          </cell>
          <cell r="K329">
            <v>90</v>
          </cell>
          <cell r="L329">
            <v>90</v>
          </cell>
          <cell r="P329">
            <v>90</v>
          </cell>
          <cell r="Q329" t="str">
            <v>Trat. 03/08 - DIADEMA</v>
          </cell>
          <cell r="S329" t="str">
            <v>DF</v>
          </cell>
          <cell r="T329" t="str">
            <v>DF</v>
          </cell>
        </row>
        <row r="330">
          <cell r="A330">
            <v>980241001</v>
          </cell>
          <cell r="B330" t="str">
            <v>65.111.08493-4</v>
          </cell>
          <cell r="C330" t="str">
            <v xml:space="preserve">SUPT TRAVA SNBC ATMR 6750 TR SANTANDER              REV-00  </v>
          </cell>
          <cell r="D330" t="str">
            <v/>
          </cell>
          <cell r="E330" t="str">
            <v>KION IND E COM LT</v>
          </cell>
          <cell r="F330">
            <v>401</v>
          </cell>
          <cell r="G330">
            <v>44025</v>
          </cell>
          <cell r="H330">
            <v>377203</v>
          </cell>
          <cell r="J330">
            <v>0</v>
          </cell>
          <cell r="K330">
            <v>350</v>
          </cell>
          <cell r="L330">
            <v>350</v>
          </cell>
          <cell r="M330">
            <v>350</v>
          </cell>
          <cell r="P330">
            <v>0</v>
          </cell>
          <cell r="Q330" t="str">
            <v>EST OK</v>
          </cell>
          <cell r="T330">
            <v>7</v>
          </cell>
        </row>
        <row r="331">
          <cell r="A331">
            <v>143282001</v>
          </cell>
          <cell r="B331" t="str">
            <v>65.111.06909-8</v>
          </cell>
          <cell r="C331" t="str">
            <v xml:space="preserve">PROT CB USB LCB OPTEVA SUPER FULL BDN               REV-01  </v>
          </cell>
          <cell r="D331" t="str">
            <v/>
          </cell>
          <cell r="E331" t="str">
            <v>KION IND E COM LT</v>
          </cell>
          <cell r="F331">
            <v>401</v>
          </cell>
          <cell r="G331">
            <v>42611</v>
          </cell>
          <cell r="H331">
            <v>356085</v>
          </cell>
          <cell r="J331">
            <v>-1435</v>
          </cell>
          <cell r="K331">
            <v>460</v>
          </cell>
          <cell r="L331">
            <v>3</v>
          </cell>
          <cell r="P331">
            <v>3</v>
          </cell>
          <cell r="Q331">
            <v>0</v>
          </cell>
          <cell r="T331" t="str">
            <v>S Con</v>
          </cell>
        </row>
        <row r="332">
          <cell r="A332">
            <v>977399001</v>
          </cell>
          <cell r="B332" t="str">
            <v>65.111.06989-0</v>
          </cell>
          <cell r="C332" t="str">
            <v>TAMPA FECH PUSH BOTTOM FECH PENTASIS ROHS           REV-01</v>
          </cell>
          <cell r="D332" t="str">
            <v>29-008851-000G</v>
          </cell>
          <cell r="E332" t="str">
            <v>KION IND E COM LT</v>
          </cell>
          <cell r="F332">
            <v>401</v>
          </cell>
          <cell r="G332">
            <v>44081</v>
          </cell>
          <cell r="H332">
            <v>376545</v>
          </cell>
          <cell r="J332">
            <v>35</v>
          </cell>
          <cell r="K332">
            <v>50</v>
          </cell>
          <cell r="L332">
            <v>50</v>
          </cell>
          <cell r="P332">
            <v>50</v>
          </cell>
          <cell r="Q332" t="str">
            <v/>
          </cell>
          <cell r="S332" t="str">
            <v>DF</v>
          </cell>
          <cell r="T332" t="str">
            <v>DF</v>
          </cell>
        </row>
        <row r="333">
          <cell r="A333">
            <v>971577001</v>
          </cell>
          <cell r="B333" t="str">
            <v>65.111.06989-0</v>
          </cell>
          <cell r="C333" t="str">
            <v>TAMPA FECH PUSH BOTTOM FECH PENTASIS ROHS           REV-01</v>
          </cell>
          <cell r="D333" t="str">
            <v>29-008851-000G</v>
          </cell>
          <cell r="E333" t="str">
            <v>KION IND E COM LT</v>
          </cell>
          <cell r="F333">
            <v>401</v>
          </cell>
          <cell r="G333">
            <v>43885</v>
          </cell>
          <cell r="H333">
            <v>375556</v>
          </cell>
          <cell r="J333">
            <v>-161</v>
          </cell>
          <cell r="K333">
            <v>120</v>
          </cell>
          <cell r="L333">
            <v>4</v>
          </cell>
          <cell r="P333">
            <v>4</v>
          </cell>
          <cell r="Q333" t="str">
            <v>Trat. 03/07 - 4p - ZF</v>
          </cell>
          <cell r="S333" t="str">
            <v>DF</v>
          </cell>
          <cell r="T333" t="str">
            <v>DF</v>
          </cell>
        </row>
        <row r="334">
          <cell r="A334">
            <v>981019001</v>
          </cell>
          <cell r="B334" t="str">
            <v>65.111.08527-2</v>
          </cell>
          <cell r="C334" t="str">
            <v xml:space="preserve">SUPORTE PROTECAO CABOS RECYCLING RM4                REV-00  </v>
          </cell>
          <cell r="D334" t="str">
            <v/>
          </cell>
          <cell r="E334" t="str">
            <v>KION IND E COM LT</v>
          </cell>
          <cell r="F334">
            <v>401</v>
          </cell>
          <cell r="G334">
            <v>44004</v>
          </cell>
          <cell r="H334">
            <v>377325</v>
          </cell>
          <cell r="J334">
            <v>0</v>
          </cell>
          <cell r="K334">
            <v>30</v>
          </cell>
          <cell r="L334">
            <v>30</v>
          </cell>
          <cell r="O334">
            <v>30</v>
          </cell>
          <cell r="P334">
            <v>0</v>
          </cell>
          <cell r="Q334" t="str">
            <v>OP 25/06 | EST OK - FM</v>
          </cell>
          <cell r="T334">
            <v>7</v>
          </cell>
        </row>
        <row r="335">
          <cell r="A335">
            <v>978316001</v>
          </cell>
          <cell r="B335" t="str">
            <v>65.111.08527-2</v>
          </cell>
          <cell r="C335" t="str">
            <v xml:space="preserve">SUPORTE PROTECAO CABOS RECYCLING RM4                REV-00  </v>
          </cell>
          <cell r="D335" t="str">
            <v/>
          </cell>
          <cell r="E335" t="str">
            <v>KION IND E COM LT</v>
          </cell>
          <cell r="F335">
            <v>401</v>
          </cell>
          <cell r="G335">
            <v>44018</v>
          </cell>
          <cell r="H335">
            <v>376920</v>
          </cell>
          <cell r="J335">
            <v>0</v>
          </cell>
          <cell r="K335">
            <v>100</v>
          </cell>
          <cell r="L335">
            <v>100</v>
          </cell>
          <cell r="N335">
            <v>100</v>
          </cell>
          <cell r="P335">
            <v>0</v>
          </cell>
          <cell r="Q335" t="str">
            <v>Trat. 24/06 - 5349p - ZF</v>
          </cell>
          <cell r="T335">
            <v>7</v>
          </cell>
        </row>
        <row r="336">
          <cell r="A336">
            <v>980270001</v>
          </cell>
          <cell r="B336" t="str">
            <v>65.111.08527-2</v>
          </cell>
          <cell r="C336" t="str">
            <v xml:space="preserve">SUPORTE PROTECAO CABOS RECYCLING RM4                REV-00  </v>
          </cell>
          <cell r="D336" t="str">
            <v/>
          </cell>
          <cell r="E336" t="str">
            <v>KION IND E COM LT</v>
          </cell>
          <cell r="F336">
            <v>401</v>
          </cell>
          <cell r="G336">
            <v>44025</v>
          </cell>
          <cell r="H336">
            <v>377203</v>
          </cell>
          <cell r="J336">
            <v>0</v>
          </cell>
          <cell r="K336">
            <v>2800</v>
          </cell>
          <cell r="L336">
            <v>2800</v>
          </cell>
          <cell r="N336">
            <v>1150</v>
          </cell>
          <cell r="O336">
            <v>1650</v>
          </cell>
          <cell r="P336">
            <v>0</v>
          </cell>
          <cell r="Q336" t="str">
            <v>Trat. 24/06 - ZF</v>
          </cell>
          <cell r="T336">
            <v>7</v>
          </cell>
        </row>
        <row r="337">
          <cell r="A337">
            <v>982074722</v>
          </cell>
          <cell r="B337" t="str">
            <v>65.111.06990-6</v>
          </cell>
          <cell r="C337" t="str">
            <v xml:space="preserve">PROTEﾇﾃO PASSAGEM CBS ROHS                          REV-00  </v>
          </cell>
          <cell r="D337" t="str">
            <v/>
          </cell>
          <cell r="E337" t="str">
            <v>KION IND E COM LT</v>
          </cell>
          <cell r="F337">
            <v>401</v>
          </cell>
          <cell r="G337">
            <v>44060</v>
          </cell>
          <cell r="H337">
            <v>377859</v>
          </cell>
          <cell r="J337">
            <v>14</v>
          </cell>
          <cell r="K337">
            <v>100</v>
          </cell>
          <cell r="L337">
            <v>100</v>
          </cell>
          <cell r="P337">
            <v>100</v>
          </cell>
          <cell r="Q337" t="str">
            <v>Trat. 29/07 - ZF</v>
          </cell>
          <cell r="R337" t="str">
            <v>10/08 - A</v>
          </cell>
          <cell r="S337">
            <v>44067</v>
          </cell>
          <cell r="T337">
            <v>7</v>
          </cell>
        </row>
        <row r="338">
          <cell r="A338">
            <v>982074723</v>
          </cell>
          <cell r="B338" t="str">
            <v>65.111.06990-6</v>
          </cell>
          <cell r="C338" t="str">
            <v xml:space="preserve">PROTEﾇﾃO PASSAGEM CBS ROHS                          REV-00  </v>
          </cell>
          <cell r="D338" t="str">
            <v/>
          </cell>
          <cell r="E338" t="str">
            <v>KION IND E COM LT</v>
          </cell>
          <cell r="F338">
            <v>401</v>
          </cell>
          <cell r="G338">
            <v>44067</v>
          </cell>
          <cell r="H338">
            <v>377859</v>
          </cell>
          <cell r="J338">
            <v>21</v>
          </cell>
          <cell r="K338">
            <v>100</v>
          </cell>
          <cell r="L338">
            <v>100</v>
          </cell>
          <cell r="P338">
            <v>100</v>
          </cell>
          <cell r="Q338" t="str">
            <v>Trat. 29/07 - ZF</v>
          </cell>
          <cell r="S338">
            <v>44081</v>
          </cell>
          <cell r="T338">
            <v>9</v>
          </cell>
        </row>
        <row r="339">
          <cell r="A339">
            <v>980483001</v>
          </cell>
          <cell r="B339" t="str">
            <v>65.111.08564-7</v>
          </cell>
          <cell r="C339" t="str">
            <v>TRAVA TRANSP IMPRESSORA INCLINADA ROHS              REV-00</v>
          </cell>
          <cell r="D339" t="str">
            <v/>
          </cell>
          <cell r="E339" t="str">
            <v>KION IND E COM LT</v>
          </cell>
          <cell r="F339">
            <v>401</v>
          </cell>
          <cell r="G339">
            <v>44025</v>
          </cell>
          <cell r="H339">
            <v>377203</v>
          </cell>
          <cell r="J339">
            <v>0</v>
          </cell>
          <cell r="K339">
            <v>330</v>
          </cell>
          <cell r="L339">
            <v>330</v>
          </cell>
          <cell r="N339">
            <v>330</v>
          </cell>
          <cell r="P339">
            <v>0</v>
          </cell>
          <cell r="Q339" t="str">
            <v>Trat. 01/07 - 324p - DIADEMA</v>
          </cell>
          <cell r="T339">
            <v>7</v>
          </cell>
        </row>
        <row r="340">
          <cell r="A340">
            <v>982074721</v>
          </cell>
          <cell r="B340" t="str">
            <v>65.111.06990-6</v>
          </cell>
          <cell r="C340" t="str">
            <v xml:space="preserve">PROTEﾇﾃO PASSAGEM CBS ROHS                          REV-00  </v>
          </cell>
          <cell r="D340" t="str">
            <v/>
          </cell>
          <cell r="E340" t="str">
            <v>KION IND E COM LT</v>
          </cell>
          <cell r="F340">
            <v>401</v>
          </cell>
          <cell r="G340">
            <v>44046</v>
          </cell>
          <cell r="H340">
            <v>377859</v>
          </cell>
          <cell r="J340">
            <v>0</v>
          </cell>
          <cell r="K340">
            <v>150</v>
          </cell>
          <cell r="L340">
            <v>150</v>
          </cell>
          <cell r="P340">
            <v>150</v>
          </cell>
          <cell r="Q340" t="str">
            <v>coleta solicitada em 03/08</v>
          </cell>
          <cell r="S340">
            <v>44046</v>
          </cell>
          <cell r="T340">
            <v>4</v>
          </cell>
        </row>
        <row r="341">
          <cell r="A341">
            <v>980478001</v>
          </cell>
          <cell r="B341" t="str">
            <v>65.111.08590-6</v>
          </cell>
          <cell r="C341" t="str">
            <v xml:space="preserve">SUP FIX FONE ROHS                                   REV-01  </v>
          </cell>
          <cell r="D341" t="str">
            <v>ALLEN SEM CABEÇA M6x25</v>
          </cell>
          <cell r="E341" t="str">
            <v>KION IND E COM LT</v>
          </cell>
          <cell r="F341">
            <v>401</v>
          </cell>
          <cell r="G341">
            <v>44025</v>
          </cell>
          <cell r="H341">
            <v>377203</v>
          </cell>
          <cell r="J341">
            <v>0</v>
          </cell>
          <cell r="K341">
            <v>350</v>
          </cell>
          <cell r="L341">
            <v>350</v>
          </cell>
          <cell r="M341">
            <v>350</v>
          </cell>
          <cell r="P341">
            <v>0</v>
          </cell>
          <cell r="Q341" t="str">
            <v>Trat. 26/06 - ZF</v>
          </cell>
          <cell r="T341">
            <v>7</v>
          </cell>
        </row>
        <row r="342">
          <cell r="A342">
            <v>978858002</v>
          </cell>
          <cell r="B342" t="str">
            <v>65.111.08590-6</v>
          </cell>
          <cell r="C342" t="str">
            <v xml:space="preserve">SUP FIX FONE ROHS                                   REV-01  </v>
          </cell>
          <cell r="D342" t="str">
            <v>ALLEN SEM CABEÇA M6x25</v>
          </cell>
          <cell r="E342" t="str">
            <v>KION IND E COM LT</v>
          </cell>
          <cell r="F342">
            <v>401</v>
          </cell>
          <cell r="G342">
            <v>44046</v>
          </cell>
          <cell r="H342">
            <v>376920</v>
          </cell>
          <cell r="J342">
            <v>0</v>
          </cell>
          <cell r="K342">
            <v>300</v>
          </cell>
          <cell r="L342">
            <v>300</v>
          </cell>
          <cell r="O342">
            <v>300</v>
          </cell>
          <cell r="P342">
            <v>0</v>
          </cell>
          <cell r="Q342" t="str">
            <v>OP 07/07 - FM</v>
          </cell>
          <cell r="T342">
            <v>7</v>
          </cell>
        </row>
        <row r="343">
          <cell r="A343">
            <v>202578234</v>
          </cell>
          <cell r="B343" t="str">
            <v>65.111.07072-6</v>
          </cell>
          <cell r="C343" t="str">
            <v xml:space="preserve">TRAVA TRANSP DIR/ESQ AFD ROHS                       REV-03  </v>
          </cell>
          <cell r="D343" t="str">
            <v>PORCA M10</v>
          </cell>
          <cell r="E343" t="str">
            <v>KION IND E COM LT</v>
          </cell>
          <cell r="F343">
            <v>401</v>
          </cell>
          <cell r="G343">
            <v>43997</v>
          </cell>
          <cell r="H343">
            <v>668725</v>
          </cell>
          <cell r="I343" t="str">
            <v>K</v>
          </cell>
          <cell r="J343">
            <v>-49</v>
          </cell>
          <cell r="K343">
            <v>100</v>
          </cell>
          <cell r="L343">
            <v>100</v>
          </cell>
          <cell r="P343">
            <v>100</v>
          </cell>
          <cell r="Q343" t="str">
            <v>Trat. 03/08 - 189p - DIADEMA</v>
          </cell>
          <cell r="S343">
            <v>44081</v>
          </cell>
          <cell r="T343">
            <v>9</v>
          </cell>
        </row>
        <row r="344">
          <cell r="A344">
            <v>202578235</v>
          </cell>
          <cell r="B344" t="str">
            <v>65.111.07072-6</v>
          </cell>
          <cell r="C344" t="str">
            <v xml:space="preserve">TRAVA TRANSP DIR/ESQ AFD ROHS                       REV-03  </v>
          </cell>
          <cell r="D344" t="str">
            <v>PORCA M10</v>
          </cell>
          <cell r="E344" t="str">
            <v>KION IND E COM LT</v>
          </cell>
          <cell r="F344">
            <v>401</v>
          </cell>
          <cell r="G344">
            <v>43997</v>
          </cell>
          <cell r="H344">
            <v>668725</v>
          </cell>
          <cell r="I344" t="str">
            <v>K</v>
          </cell>
          <cell r="J344">
            <v>-49</v>
          </cell>
          <cell r="K344">
            <v>100</v>
          </cell>
          <cell r="L344">
            <v>100</v>
          </cell>
          <cell r="P344">
            <v>100</v>
          </cell>
          <cell r="Q344" t="str">
            <v>Trat. 03/08 - DIADEMA</v>
          </cell>
          <cell r="S344" t="str">
            <v>DF</v>
          </cell>
          <cell r="T344" t="str">
            <v>DF</v>
          </cell>
        </row>
        <row r="345">
          <cell r="A345">
            <v>202578236</v>
          </cell>
          <cell r="B345" t="str">
            <v>65.111.07072-6</v>
          </cell>
          <cell r="C345" t="str">
            <v xml:space="preserve">TRAVA TRANSP DIR/ESQ AFD ROHS                       REV-03  </v>
          </cell>
          <cell r="D345" t="str">
            <v>PORCA M10</v>
          </cell>
          <cell r="E345" t="str">
            <v>KION IND E COM LT</v>
          </cell>
          <cell r="F345">
            <v>401</v>
          </cell>
          <cell r="G345">
            <v>44025</v>
          </cell>
          <cell r="H345">
            <v>668725</v>
          </cell>
          <cell r="I345" t="str">
            <v>K</v>
          </cell>
          <cell r="J345">
            <v>-21</v>
          </cell>
          <cell r="K345">
            <v>100</v>
          </cell>
          <cell r="L345">
            <v>100</v>
          </cell>
          <cell r="P345">
            <v>100</v>
          </cell>
          <cell r="Q345" t="str">
            <v>ESTAMP. 30/07 - FM</v>
          </cell>
          <cell r="S345" t="str">
            <v>DF</v>
          </cell>
          <cell r="T345" t="str">
            <v>DF</v>
          </cell>
        </row>
        <row r="346">
          <cell r="A346">
            <v>202578237</v>
          </cell>
          <cell r="B346" t="str">
            <v>65.111.07072-6</v>
          </cell>
          <cell r="C346" t="str">
            <v xml:space="preserve">TRAVA TRANSP DIR/ESQ AFD ROHS                       REV-03  </v>
          </cell>
          <cell r="D346" t="str">
            <v>PORCA M10</v>
          </cell>
          <cell r="E346" t="str">
            <v>KION IND E COM LT</v>
          </cell>
          <cell r="F346">
            <v>401</v>
          </cell>
          <cell r="G346">
            <v>44025</v>
          </cell>
          <cell r="H346">
            <v>668725</v>
          </cell>
          <cell r="I346" t="str">
            <v>K</v>
          </cell>
          <cell r="J346">
            <v>-21</v>
          </cell>
          <cell r="K346">
            <v>100</v>
          </cell>
          <cell r="L346">
            <v>100</v>
          </cell>
          <cell r="P346">
            <v>100</v>
          </cell>
          <cell r="Q346" t="str">
            <v>ESTAMP. 30/07 - FM</v>
          </cell>
          <cell r="S346" t="str">
            <v>DF</v>
          </cell>
          <cell r="T346" t="str">
            <v>DF</v>
          </cell>
        </row>
        <row r="347">
          <cell r="A347">
            <v>978450004</v>
          </cell>
          <cell r="B347" t="str">
            <v>65.111.08938-0</v>
          </cell>
          <cell r="C347" t="str">
            <v xml:space="preserve">CHAPA PRENSA CB MESH ROHS                           REV-00  </v>
          </cell>
          <cell r="D347" t="str">
            <v/>
          </cell>
          <cell r="E347" t="str">
            <v>KION IND E COM LT</v>
          </cell>
          <cell r="F347">
            <v>401</v>
          </cell>
          <cell r="G347">
            <v>44046</v>
          </cell>
          <cell r="H347">
            <v>376920</v>
          </cell>
          <cell r="J347">
            <v>0</v>
          </cell>
          <cell r="K347">
            <v>150</v>
          </cell>
          <cell r="L347">
            <v>150</v>
          </cell>
          <cell r="O347">
            <v>150</v>
          </cell>
          <cell r="P347">
            <v>0</v>
          </cell>
          <cell r="Q347" t="str">
            <v>Trat. 15/07 - 147p - DIADEMA</v>
          </cell>
          <cell r="T347">
            <v>7</v>
          </cell>
        </row>
        <row r="348">
          <cell r="A348">
            <v>202578238</v>
          </cell>
          <cell r="B348" t="str">
            <v>65.111.07072-6</v>
          </cell>
          <cell r="C348" t="str">
            <v xml:space="preserve">TRAVA TRANSP DIR/ESQ AFD ROHS                       REV-03  </v>
          </cell>
          <cell r="D348" t="str">
            <v>PORCA M10</v>
          </cell>
          <cell r="E348" t="str">
            <v>KION IND E COM LT</v>
          </cell>
          <cell r="F348">
            <v>401</v>
          </cell>
          <cell r="G348">
            <v>44025</v>
          </cell>
          <cell r="H348">
            <v>668725</v>
          </cell>
          <cell r="I348" t="str">
            <v>K</v>
          </cell>
          <cell r="J348">
            <v>-21</v>
          </cell>
          <cell r="K348">
            <v>100</v>
          </cell>
          <cell r="L348">
            <v>100</v>
          </cell>
          <cell r="P348">
            <v>100</v>
          </cell>
          <cell r="Q348" t="str">
            <v>ESTAMP. 30/07 - FM</v>
          </cell>
          <cell r="S348" t="str">
            <v>DF</v>
          </cell>
          <cell r="T348" t="str">
            <v>DF</v>
          </cell>
        </row>
        <row r="349">
          <cell r="A349">
            <v>978745002</v>
          </cell>
          <cell r="B349" t="str">
            <v>65.111.08942-7</v>
          </cell>
          <cell r="C349" t="str">
            <v xml:space="preserve">CHAPA EXTENSORA FIX MOD SAFE RM4                    REV-00  </v>
          </cell>
          <cell r="D349" t="str">
            <v/>
          </cell>
          <cell r="E349" t="str">
            <v>KION IND E COM LT</v>
          </cell>
          <cell r="F349">
            <v>401</v>
          </cell>
          <cell r="G349">
            <v>44046</v>
          </cell>
          <cell r="H349">
            <v>376920</v>
          </cell>
          <cell r="J349">
            <v>0</v>
          </cell>
          <cell r="K349">
            <v>300</v>
          </cell>
          <cell r="L349">
            <v>300</v>
          </cell>
          <cell r="N349">
            <v>300</v>
          </cell>
          <cell r="P349">
            <v>0</v>
          </cell>
          <cell r="Q349" t="str">
            <v>Trat. 23/07 - 306p - DIADEMA</v>
          </cell>
          <cell r="T349">
            <v>7</v>
          </cell>
        </row>
        <row r="350">
          <cell r="A350">
            <v>982094041</v>
          </cell>
          <cell r="B350" t="str">
            <v>65.111.07079-5</v>
          </cell>
          <cell r="C350" t="str">
            <v xml:space="preserve">BASE FIX TEC EPP1217 ROHS                           REV-02  </v>
          </cell>
          <cell r="D350" t="str">
            <v/>
          </cell>
          <cell r="E350" t="str">
            <v>KION IND E COM LT</v>
          </cell>
          <cell r="F350">
            <v>401</v>
          </cell>
          <cell r="G350">
            <v>44067</v>
          </cell>
          <cell r="H350">
            <v>378015</v>
          </cell>
          <cell r="J350">
            <v>21</v>
          </cell>
          <cell r="K350">
            <v>30</v>
          </cell>
          <cell r="L350">
            <v>30</v>
          </cell>
          <cell r="P350">
            <v>30</v>
          </cell>
          <cell r="Q350" t="str">
            <v>OP 03/08 - FM</v>
          </cell>
          <cell r="S350">
            <v>44081</v>
          </cell>
          <cell r="T350">
            <v>9</v>
          </cell>
        </row>
        <row r="351">
          <cell r="A351">
            <v>201255340</v>
          </cell>
          <cell r="B351" t="str">
            <v>65.113.00561-6</v>
          </cell>
          <cell r="C351" t="str">
            <v>SUPORTE FIX TOUCH BB 2015 ROHS                      REV-00</v>
          </cell>
          <cell r="D351" t="str">
            <v/>
          </cell>
          <cell r="E351" t="str">
            <v>KION IND E COM LT</v>
          </cell>
          <cell r="F351">
            <v>401</v>
          </cell>
          <cell r="G351">
            <v>43983</v>
          </cell>
          <cell r="H351">
            <v>668725</v>
          </cell>
          <cell r="I351" t="str">
            <v>K</v>
          </cell>
          <cell r="J351">
            <v>0</v>
          </cell>
          <cell r="K351">
            <v>100</v>
          </cell>
          <cell r="L351">
            <v>100</v>
          </cell>
          <cell r="M351">
            <v>100</v>
          </cell>
          <cell r="P351">
            <v>0</v>
          </cell>
          <cell r="Q351" t="str">
            <v>Trat. 09/07 - REALPOX</v>
          </cell>
          <cell r="T351">
            <v>7</v>
          </cell>
        </row>
        <row r="352">
          <cell r="A352">
            <v>201255341</v>
          </cell>
          <cell r="B352" t="str">
            <v>65.113.00561-6</v>
          </cell>
          <cell r="C352" t="str">
            <v>SUPORTE FIX TOUCH BB 2015 ROHS                      REV-00</v>
          </cell>
          <cell r="D352" t="str">
            <v/>
          </cell>
          <cell r="E352" t="str">
            <v>KION IND E COM LT</v>
          </cell>
          <cell r="F352">
            <v>401</v>
          </cell>
          <cell r="G352">
            <v>43983</v>
          </cell>
          <cell r="H352">
            <v>668725</v>
          </cell>
          <cell r="I352" t="str">
            <v>K</v>
          </cell>
          <cell r="J352">
            <v>0</v>
          </cell>
          <cell r="K352">
            <v>100</v>
          </cell>
          <cell r="L352">
            <v>100</v>
          </cell>
          <cell r="M352">
            <v>100</v>
          </cell>
          <cell r="P352">
            <v>0</v>
          </cell>
          <cell r="Q352" t="str">
            <v>Trat. 09/07 - REALPOX</v>
          </cell>
          <cell r="T352">
            <v>7</v>
          </cell>
        </row>
        <row r="353">
          <cell r="A353">
            <v>201255342</v>
          </cell>
          <cell r="B353" t="str">
            <v>65.113.00561-6</v>
          </cell>
          <cell r="C353" t="str">
            <v>SUPORTE FIX TOUCH BB 2015 ROHS                      REV-00</v>
          </cell>
          <cell r="D353" t="str">
            <v/>
          </cell>
          <cell r="E353" t="str">
            <v>KION IND E COM LT</v>
          </cell>
          <cell r="F353">
            <v>401</v>
          </cell>
          <cell r="G353">
            <v>43983</v>
          </cell>
          <cell r="H353">
            <v>668725</v>
          </cell>
          <cell r="I353" t="str">
            <v>K</v>
          </cell>
          <cell r="J353">
            <v>0</v>
          </cell>
          <cell r="K353">
            <v>100</v>
          </cell>
          <cell r="L353">
            <v>100</v>
          </cell>
          <cell r="M353">
            <v>100</v>
          </cell>
          <cell r="P353">
            <v>0</v>
          </cell>
          <cell r="Q353" t="str">
            <v>Trat. 09/07 - REALPOX</v>
          </cell>
          <cell r="T353">
            <v>7</v>
          </cell>
        </row>
        <row r="354">
          <cell r="A354">
            <v>201255343</v>
          </cell>
          <cell r="B354" t="str">
            <v>65.113.00561-6</v>
          </cell>
          <cell r="C354" t="str">
            <v>SUPORTE FIX TOUCH BB 2015 ROHS                      REV-00</v>
          </cell>
          <cell r="D354" t="str">
            <v/>
          </cell>
          <cell r="E354" t="str">
            <v>KION IND E COM LT</v>
          </cell>
          <cell r="F354">
            <v>401</v>
          </cell>
          <cell r="G354">
            <v>43990</v>
          </cell>
          <cell r="H354">
            <v>668725</v>
          </cell>
          <cell r="I354" t="str">
            <v>K</v>
          </cell>
          <cell r="J354">
            <v>0</v>
          </cell>
          <cell r="K354">
            <v>100</v>
          </cell>
          <cell r="L354">
            <v>100</v>
          </cell>
          <cell r="M354">
            <v>100</v>
          </cell>
          <cell r="P354">
            <v>0</v>
          </cell>
          <cell r="Q354" t="str">
            <v>Trat. 09/07 - REALPOX</v>
          </cell>
          <cell r="T354">
            <v>7</v>
          </cell>
        </row>
        <row r="355">
          <cell r="A355">
            <v>201255344</v>
          </cell>
          <cell r="B355" t="str">
            <v>65.113.00561-6</v>
          </cell>
          <cell r="C355" t="str">
            <v>SUPORTE FIX TOUCH BB 2015 ROHS                      REV-00</v>
          </cell>
          <cell r="D355" t="str">
            <v/>
          </cell>
          <cell r="E355" t="str">
            <v>KION IND E COM LT</v>
          </cell>
          <cell r="F355">
            <v>401</v>
          </cell>
          <cell r="G355">
            <v>43990</v>
          </cell>
          <cell r="H355">
            <v>668725</v>
          </cell>
          <cell r="I355" t="str">
            <v>K</v>
          </cell>
          <cell r="J355">
            <v>0</v>
          </cell>
          <cell r="K355">
            <v>100</v>
          </cell>
          <cell r="L355">
            <v>100</v>
          </cell>
          <cell r="M355">
            <v>100</v>
          </cell>
          <cell r="P355">
            <v>0</v>
          </cell>
          <cell r="Q355" t="str">
            <v>Trat. 09/07 - REALPOX</v>
          </cell>
          <cell r="T355">
            <v>7</v>
          </cell>
        </row>
        <row r="356">
          <cell r="A356">
            <v>201255345</v>
          </cell>
          <cell r="B356" t="str">
            <v>65.113.00561-6</v>
          </cell>
          <cell r="C356" t="str">
            <v>SUPORTE FIX TOUCH BB 2015 ROHS                      REV-00</v>
          </cell>
          <cell r="D356" t="str">
            <v/>
          </cell>
          <cell r="E356" t="str">
            <v>KION IND E COM LT</v>
          </cell>
          <cell r="F356">
            <v>401</v>
          </cell>
          <cell r="G356">
            <v>43990</v>
          </cell>
          <cell r="H356">
            <v>668725</v>
          </cell>
          <cell r="I356" t="str">
            <v>K</v>
          </cell>
          <cell r="J356">
            <v>0</v>
          </cell>
          <cell r="K356">
            <v>100</v>
          </cell>
          <cell r="L356">
            <v>100</v>
          </cell>
          <cell r="M356">
            <v>100</v>
          </cell>
          <cell r="P356">
            <v>0</v>
          </cell>
          <cell r="Q356" t="str">
            <v>Trat. 09/07 - REALPOX</v>
          </cell>
          <cell r="T356">
            <v>7</v>
          </cell>
        </row>
        <row r="357">
          <cell r="A357">
            <v>201255346</v>
          </cell>
          <cell r="B357" t="str">
            <v>65.113.00561-6</v>
          </cell>
          <cell r="C357" t="str">
            <v>SUPORTE FIX TOUCH BB 2015 ROHS                      REV-00</v>
          </cell>
          <cell r="D357" t="str">
            <v/>
          </cell>
          <cell r="E357" t="str">
            <v>KION IND E COM LT</v>
          </cell>
          <cell r="F357">
            <v>401</v>
          </cell>
          <cell r="G357">
            <v>43990</v>
          </cell>
          <cell r="H357">
            <v>668725</v>
          </cell>
          <cell r="I357" t="str">
            <v>K</v>
          </cell>
          <cell r="J357">
            <v>0</v>
          </cell>
          <cell r="K357">
            <v>100</v>
          </cell>
          <cell r="L357">
            <v>100</v>
          </cell>
          <cell r="M357">
            <v>100</v>
          </cell>
          <cell r="P357">
            <v>0</v>
          </cell>
          <cell r="Q357" t="str">
            <v>Trat. 09/07 - REALPOX</v>
          </cell>
          <cell r="T357">
            <v>7</v>
          </cell>
        </row>
        <row r="358">
          <cell r="A358">
            <v>201255347</v>
          </cell>
          <cell r="B358" t="str">
            <v>65.113.00561-6</v>
          </cell>
          <cell r="C358" t="str">
            <v>SUPORTE FIX TOUCH BB 2015 ROHS                      REV-00</v>
          </cell>
          <cell r="D358" t="str">
            <v/>
          </cell>
          <cell r="E358" t="str">
            <v>KION IND E COM LT</v>
          </cell>
          <cell r="F358">
            <v>401</v>
          </cell>
          <cell r="G358">
            <v>43990</v>
          </cell>
          <cell r="H358">
            <v>668725</v>
          </cell>
          <cell r="I358" t="str">
            <v>K</v>
          </cell>
          <cell r="J358">
            <v>0</v>
          </cell>
          <cell r="K358">
            <v>100</v>
          </cell>
          <cell r="L358">
            <v>100</v>
          </cell>
          <cell r="M358">
            <v>100</v>
          </cell>
          <cell r="P358">
            <v>0</v>
          </cell>
          <cell r="Q358" t="str">
            <v>Trat. 09/07 - REALPOX</v>
          </cell>
          <cell r="T358">
            <v>7</v>
          </cell>
        </row>
        <row r="359">
          <cell r="A359">
            <v>201255348</v>
          </cell>
          <cell r="B359" t="str">
            <v>65.113.00561-6</v>
          </cell>
          <cell r="C359" t="str">
            <v>SUPORTE FIX TOUCH BB 2015 ROHS                      REV-00</v>
          </cell>
          <cell r="D359" t="str">
            <v/>
          </cell>
          <cell r="E359" t="str">
            <v>KION IND E COM LT</v>
          </cell>
          <cell r="F359">
            <v>401</v>
          </cell>
          <cell r="G359">
            <v>43990</v>
          </cell>
          <cell r="H359">
            <v>668725</v>
          </cell>
          <cell r="I359" t="str">
            <v>K</v>
          </cell>
          <cell r="J359">
            <v>0</v>
          </cell>
          <cell r="K359">
            <v>100</v>
          </cell>
          <cell r="L359">
            <v>100</v>
          </cell>
          <cell r="M359">
            <v>100</v>
          </cell>
          <cell r="P359">
            <v>0</v>
          </cell>
          <cell r="Q359" t="str">
            <v>Trat. 09/07 - REALPOX</v>
          </cell>
          <cell r="T359">
            <v>7</v>
          </cell>
        </row>
        <row r="360">
          <cell r="A360">
            <v>201255349</v>
          </cell>
          <cell r="B360" t="str">
            <v>65.113.00561-6</v>
          </cell>
          <cell r="C360" t="str">
            <v>SUPORTE FIX TOUCH BB 2015 ROHS                      REV-00</v>
          </cell>
          <cell r="D360" t="str">
            <v/>
          </cell>
          <cell r="E360" t="str">
            <v>KION IND E COM LT</v>
          </cell>
          <cell r="F360">
            <v>401</v>
          </cell>
          <cell r="G360">
            <v>43990</v>
          </cell>
          <cell r="H360">
            <v>668725</v>
          </cell>
          <cell r="I360" t="str">
            <v>K</v>
          </cell>
          <cell r="J360">
            <v>0</v>
          </cell>
          <cell r="K360">
            <v>100</v>
          </cell>
          <cell r="L360">
            <v>100</v>
          </cell>
          <cell r="M360">
            <v>100</v>
          </cell>
          <cell r="P360">
            <v>0</v>
          </cell>
          <cell r="Q360" t="str">
            <v>Trat. 09/07 - REALPOX</v>
          </cell>
          <cell r="T360">
            <v>7</v>
          </cell>
        </row>
        <row r="361">
          <cell r="A361">
            <v>201255350</v>
          </cell>
          <cell r="B361" t="str">
            <v>65.113.00561-6</v>
          </cell>
          <cell r="C361" t="str">
            <v>SUPORTE FIX TOUCH BB 2015 ROHS                      REV-00</v>
          </cell>
          <cell r="D361" t="str">
            <v/>
          </cell>
          <cell r="E361" t="str">
            <v>KION IND E COM LT</v>
          </cell>
          <cell r="F361">
            <v>401</v>
          </cell>
          <cell r="G361">
            <v>43997</v>
          </cell>
          <cell r="H361">
            <v>668725</v>
          </cell>
          <cell r="I361" t="str">
            <v>K</v>
          </cell>
          <cell r="J361">
            <v>0</v>
          </cell>
          <cell r="K361">
            <v>100</v>
          </cell>
          <cell r="L361">
            <v>100</v>
          </cell>
          <cell r="M361">
            <v>100</v>
          </cell>
          <cell r="P361">
            <v>0</v>
          </cell>
          <cell r="Q361" t="str">
            <v>Trat. 09/07 - REALPOX</v>
          </cell>
          <cell r="T361">
            <v>7</v>
          </cell>
        </row>
        <row r="362">
          <cell r="A362">
            <v>201255351</v>
          </cell>
          <cell r="B362" t="str">
            <v>65.113.00561-6</v>
          </cell>
          <cell r="C362" t="str">
            <v>SUPORTE FIX TOUCH BB 2015 ROHS                      REV-00</v>
          </cell>
          <cell r="D362" t="str">
            <v/>
          </cell>
          <cell r="E362" t="str">
            <v>KION IND E COM LT</v>
          </cell>
          <cell r="F362">
            <v>401</v>
          </cell>
          <cell r="G362">
            <v>43997</v>
          </cell>
          <cell r="H362">
            <v>668725</v>
          </cell>
          <cell r="I362" t="str">
            <v>K</v>
          </cell>
          <cell r="J362">
            <v>0</v>
          </cell>
          <cell r="K362">
            <v>100</v>
          </cell>
          <cell r="L362">
            <v>100</v>
          </cell>
          <cell r="M362">
            <v>100</v>
          </cell>
          <cell r="P362">
            <v>0</v>
          </cell>
          <cell r="Q362" t="str">
            <v>Trat. 09/07 - REALPOX</v>
          </cell>
          <cell r="T362">
            <v>7</v>
          </cell>
        </row>
        <row r="363">
          <cell r="A363">
            <v>201255352</v>
          </cell>
          <cell r="B363" t="str">
            <v>65.113.00561-6</v>
          </cell>
          <cell r="C363" t="str">
            <v>SUPORTE FIX TOUCH BB 2015 ROHS                      REV-00</v>
          </cell>
          <cell r="D363" t="str">
            <v/>
          </cell>
          <cell r="E363" t="str">
            <v>KION IND E COM LT</v>
          </cell>
          <cell r="F363">
            <v>401</v>
          </cell>
          <cell r="G363">
            <v>43997</v>
          </cell>
          <cell r="H363">
            <v>668725</v>
          </cell>
          <cell r="I363" t="str">
            <v>K</v>
          </cell>
          <cell r="J363">
            <v>0</v>
          </cell>
          <cell r="K363">
            <v>100</v>
          </cell>
          <cell r="L363">
            <v>100</v>
          </cell>
          <cell r="M363">
            <v>100</v>
          </cell>
          <cell r="P363">
            <v>0</v>
          </cell>
          <cell r="Q363" t="str">
            <v>Trat. 09/07 - REALPOX</v>
          </cell>
          <cell r="T363">
            <v>7</v>
          </cell>
        </row>
        <row r="364">
          <cell r="A364">
            <v>201255353</v>
          </cell>
          <cell r="B364" t="str">
            <v>65.113.00561-6</v>
          </cell>
          <cell r="C364" t="str">
            <v>SUPORTE FIX TOUCH BB 2015 ROHS                      REV-00</v>
          </cell>
          <cell r="D364" t="str">
            <v/>
          </cell>
          <cell r="E364" t="str">
            <v>KION IND E COM LT</v>
          </cell>
          <cell r="F364">
            <v>401</v>
          </cell>
          <cell r="G364">
            <v>43997</v>
          </cell>
          <cell r="H364">
            <v>668725</v>
          </cell>
          <cell r="I364" t="str">
            <v>K</v>
          </cell>
          <cell r="J364">
            <v>0</v>
          </cell>
          <cell r="K364">
            <v>100</v>
          </cell>
          <cell r="L364">
            <v>100</v>
          </cell>
          <cell r="M364">
            <v>100</v>
          </cell>
          <cell r="P364">
            <v>0</v>
          </cell>
          <cell r="Q364" t="str">
            <v>Trat. 09/07 - REALPOX</v>
          </cell>
          <cell r="T364">
            <v>7</v>
          </cell>
        </row>
        <row r="365">
          <cell r="A365">
            <v>201255354</v>
          </cell>
          <cell r="B365" t="str">
            <v>65.113.00561-6</v>
          </cell>
          <cell r="C365" t="str">
            <v>SUPORTE FIX TOUCH BB 2015 ROHS                      REV-00</v>
          </cell>
          <cell r="D365" t="str">
            <v/>
          </cell>
          <cell r="E365" t="str">
            <v>KION IND E COM LT</v>
          </cell>
          <cell r="F365">
            <v>401</v>
          </cell>
          <cell r="G365">
            <v>43997</v>
          </cell>
          <cell r="H365">
            <v>668725</v>
          </cell>
          <cell r="I365" t="str">
            <v>K</v>
          </cell>
          <cell r="J365">
            <v>0</v>
          </cell>
          <cell r="K365">
            <v>100</v>
          </cell>
          <cell r="L365">
            <v>100</v>
          </cell>
          <cell r="M365">
            <v>100</v>
          </cell>
          <cell r="P365">
            <v>0</v>
          </cell>
          <cell r="Q365" t="str">
            <v>Trat. 09/07 - REALPOX</v>
          </cell>
          <cell r="T365">
            <v>7</v>
          </cell>
        </row>
        <row r="366">
          <cell r="A366">
            <v>201255355</v>
          </cell>
          <cell r="B366" t="str">
            <v>65.113.00561-6</v>
          </cell>
          <cell r="C366" t="str">
            <v>SUPORTE FIX TOUCH BB 2015 ROHS                      REV-00</v>
          </cell>
          <cell r="D366" t="str">
            <v/>
          </cell>
          <cell r="E366" t="str">
            <v>KION IND E COM LT</v>
          </cell>
          <cell r="F366">
            <v>401</v>
          </cell>
          <cell r="G366">
            <v>44011</v>
          </cell>
          <cell r="H366">
            <v>668725</v>
          </cell>
          <cell r="I366" t="str">
            <v>K</v>
          </cell>
          <cell r="J366">
            <v>0</v>
          </cell>
          <cell r="K366">
            <v>100</v>
          </cell>
          <cell r="L366">
            <v>100</v>
          </cell>
          <cell r="N366">
            <v>100</v>
          </cell>
          <cell r="P366">
            <v>0</v>
          </cell>
          <cell r="Q366" t="str">
            <v>Trat. 09/07 - REALPOX</v>
          </cell>
          <cell r="T366">
            <v>7</v>
          </cell>
        </row>
        <row r="367">
          <cell r="A367">
            <v>201255356</v>
          </cell>
          <cell r="B367" t="str">
            <v>65.113.00561-6</v>
          </cell>
          <cell r="C367" t="str">
            <v>SUPORTE FIX TOUCH BB 2015 ROHS                      REV-00</v>
          </cell>
          <cell r="D367" t="str">
            <v/>
          </cell>
          <cell r="E367" t="str">
            <v>KION IND E COM LT</v>
          </cell>
          <cell r="F367">
            <v>401</v>
          </cell>
          <cell r="G367">
            <v>44011</v>
          </cell>
          <cell r="H367">
            <v>668725</v>
          </cell>
          <cell r="I367" t="str">
            <v>K</v>
          </cell>
          <cell r="J367">
            <v>0</v>
          </cell>
          <cell r="K367">
            <v>100</v>
          </cell>
          <cell r="L367">
            <v>100</v>
          </cell>
          <cell r="N367">
            <v>100</v>
          </cell>
          <cell r="P367">
            <v>0</v>
          </cell>
          <cell r="Q367" t="str">
            <v>Trat. 09/07 - REALPOX</v>
          </cell>
          <cell r="T367">
            <v>7</v>
          </cell>
        </row>
        <row r="368">
          <cell r="A368">
            <v>978187001</v>
          </cell>
          <cell r="B368" t="str">
            <v>65.111.07087-0</v>
          </cell>
          <cell r="C368" t="str">
            <v xml:space="preserve">TRAVA TRANSP DIR AFD ROHS                           REV-00  </v>
          </cell>
          <cell r="D368" t="str">
            <v/>
          </cell>
          <cell r="E368" t="str">
            <v>KION IND E COM LT</v>
          </cell>
          <cell r="F368">
            <v>401</v>
          </cell>
          <cell r="G368">
            <v>44053</v>
          </cell>
          <cell r="H368">
            <v>376874</v>
          </cell>
          <cell r="J368">
            <v>7</v>
          </cell>
          <cell r="K368">
            <v>100</v>
          </cell>
          <cell r="L368">
            <v>100</v>
          </cell>
          <cell r="P368">
            <v>100</v>
          </cell>
          <cell r="Q368" t="str">
            <v/>
          </cell>
          <cell r="S368" t="str">
            <v>DF</v>
          </cell>
          <cell r="T368" t="str">
            <v>DF</v>
          </cell>
        </row>
        <row r="369">
          <cell r="A369">
            <v>979181001</v>
          </cell>
          <cell r="B369" t="str">
            <v>65.111.07087-0</v>
          </cell>
          <cell r="C369" t="str">
            <v xml:space="preserve">TRAVA TRANSP DIR AFD ROHS                           REV-00  </v>
          </cell>
          <cell r="D369" t="str">
            <v/>
          </cell>
          <cell r="E369" t="str">
            <v>KION IND E COM LT</v>
          </cell>
          <cell r="F369">
            <v>401</v>
          </cell>
          <cell r="G369">
            <v>44088</v>
          </cell>
          <cell r="H369">
            <v>376920</v>
          </cell>
          <cell r="J369">
            <v>42</v>
          </cell>
          <cell r="K369">
            <v>80</v>
          </cell>
          <cell r="L369">
            <v>80</v>
          </cell>
          <cell r="P369">
            <v>80</v>
          </cell>
          <cell r="Q369" t="str">
            <v/>
          </cell>
          <cell r="S369" t="str">
            <v>DF</v>
          </cell>
          <cell r="T369" t="str">
            <v>DF</v>
          </cell>
        </row>
        <row r="370">
          <cell r="A370">
            <v>982093851</v>
          </cell>
          <cell r="B370" t="str">
            <v>65.111.07087-0</v>
          </cell>
          <cell r="C370" t="str">
            <v xml:space="preserve">TRAVA TRANSP DIR AFD ROHS                           REV-00  </v>
          </cell>
          <cell r="D370" t="str">
            <v/>
          </cell>
          <cell r="E370" t="str">
            <v>KION IND E COM LT</v>
          </cell>
          <cell r="F370">
            <v>401</v>
          </cell>
          <cell r="G370">
            <v>44137</v>
          </cell>
          <cell r="H370">
            <v>378015</v>
          </cell>
          <cell r="J370">
            <v>91</v>
          </cell>
          <cell r="K370">
            <v>50</v>
          </cell>
          <cell r="L370">
            <v>50</v>
          </cell>
          <cell r="P370">
            <v>50</v>
          </cell>
          <cell r="Q370" t="str">
            <v/>
          </cell>
          <cell r="S370" t="str">
            <v>DF</v>
          </cell>
          <cell r="T370" t="str">
            <v>DF</v>
          </cell>
        </row>
        <row r="371">
          <cell r="A371">
            <v>979182001</v>
          </cell>
          <cell r="B371" t="str">
            <v>65.111.07088-7</v>
          </cell>
          <cell r="C371" t="str">
            <v xml:space="preserve">TRAVA TRANSP ESQ AFD ROHS                           REV-00  </v>
          </cell>
          <cell r="D371" t="str">
            <v/>
          </cell>
          <cell r="E371" t="str">
            <v>KION IND E COM LT</v>
          </cell>
          <cell r="F371">
            <v>401</v>
          </cell>
          <cell r="G371">
            <v>44088</v>
          </cell>
          <cell r="H371">
            <v>376920</v>
          </cell>
          <cell r="J371">
            <v>42</v>
          </cell>
          <cell r="K371">
            <v>80</v>
          </cell>
          <cell r="L371">
            <v>80</v>
          </cell>
          <cell r="P371">
            <v>80</v>
          </cell>
          <cell r="Q371" t="str">
            <v/>
          </cell>
          <cell r="S371" t="str">
            <v>DF</v>
          </cell>
          <cell r="T371" t="str">
            <v>DF</v>
          </cell>
        </row>
        <row r="372">
          <cell r="A372">
            <v>940332001</v>
          </cell>
          <cell r="B372" t="str">
            <v>65.111.07122-4</v>
          </cell>
          <cell r="C372" t="str">
            <v>SUPORTE TEC EPP7 OPTEVA RECIC TR BDN                REV-00</v>
          </cell>
          <cell r="D372" t="str">
            <v/>
          </cell>
          <cell r="E372" t="str">
            <v>KION IND E COM LT</v>
          </cell>
          <cell r="F372">
            <v>401</v>
          </cell>
          <cell r="G372">
            <v>43472</v>
          </cell>
          <cell r="H372">
            <v>369543</v>
          </cell>
          <cell r="J372">
            <v>-574</v>
          </cell>
          <cell r="K372">
            <v>100</v>
          </cell>
          <cell r="L372">
            <v>1</v>
          </cell>
          <cell r="P372">
            <v>1</v>
          </cell>
          <cell r="Q372" t="str">
            <v>EST OK</v>
          </cell>
          <cell r="T372" t="str">
            <v>S Con</v>
          </cell>
        </row>
        <row r="373">
          <cell r="A373">
            <v>979186001</v>
          </cell>
          <cell r="B373" t="str">
            <v>65.111.07144-6</v>
          </cell>
          <cell r="C373" t="str">
            <v>SUP ACION MCHV K7 POSIC DEP ROHS                    REV-00</v>
          </cell>
          <cell r="D373" t="str">
            <v/>
          </cell>
          <cell r="E373" t="str">
            <v>KION IND E COM LT</v>
          </cell>
          <cell r="F373">
            <v>401</v>
          </cell>
          <cell r="G373">
            <v>44088</v>
          </cell>
          <cell r="H373">
            <v>376920</v>
          </cell>
          <cell r="J373">
            <v>42</v>
          </cell>
          <cell r="K373">
            <v>10</v>
          </cell>
          <cell r="L373">
            <v>10</v>
          </cell>
          <cell r="P373">
            <v>10</v>
          </cell>
          <cell r="Q373" t="str">
            <v/>
          </cell>
          <cell r="S373" t="str">
            <v>DF</v>
          </cell>
          <cell r="T373" t="str">
            <v>DF</v>
          </cell>
        </row>
        <row r="374">
          <cell r="A374">
            <v>982088841</v>
          </cell>
          <cell r="B374" t="str">
            <v>65.111.07144-6</v>
          </cell>
          <cell r="C374" t="str">
            <v>SUP ACION MCHV K7 POSIC DEP ROHS                    REV-00</v>
          </cell>
          <cell r="D374" t="str">
            <v/>
          </cell>
          <cell r="E374" t="str">
            <v>KION IND E COM LT</v>
          </cell>
          <cell r="F374">
            <v>401</v>
          </cell>
          <cell r="G374">
            <v>44088</v>
          </cell>
          <cell r="H374">
            <v>377860</v>
          </cell>
          <cell r="J374">
            <v>42</v>
          </cell>
          <cell r="K374">
            <v>120</v>
          </cell>
          <cell r="L374">
            <v>120</v>
          </cell>
          <cell r="P374">
            <v>120</v>
          </cell>
          <cell r="Q374" t="str">
            <v/>
          </cell>
          <cell r="S374" t="str">
            <v>DF</v>
          </cell>
          <cell r="T374" t="str">
            <v>DF</v>
          </cell>
        </row>
        <row r="375">
          <cell r="A375">
            <v>974304001</v>
          </cell>
          <cell r="B375" t="str">
            <v>65.111.07178-1</v>
          </cell>
          <cell r="C375" t="str">
            <v>GUIA CURTO AFD ROHS                                 REV-01</v>
          </cell>
          <cell r="D375" t="str">
            <v/>
          </cell>
          <cell r="E375" t="str">
            <v>KION IND E COM LT</v>
          </cell>
          <cell r="F375">
            <v>401</v>
          </cell>
          <cell r="G375">
            <v>44039</v>
          </cell>
          <cell r="H375">
            <v>375976</v>
          </cell>
          <cell r="J375">
            <v>-7</v>
          </cell>
          <cell r="K375">
            <v>200</v>
          </cell>
          <cell r="L375">
            <v>200</v>
          </cell>
          <cell r="P375">
            <v>200</v>
          </cell>
          <cell r="Q375" t="str">
            <v/>
          </cell>
          <cell r="S375" t="str">
            <v>DF</v>
          </cell>
          <cell r="T375" t="str">
            <v>DF</v>
          </cell>
        </row>
        <row r="376">
          <cell r="A376">
            <v>978811001</v>
          </cell>
          <cell r="B376" t="str">
            <v>65.116.01238-7</v>
          </cell>
          <cell r="C376" t="str">
            <v xml:space="preserve">CHAPA PROT CONTROL TOUCH PCAP ROHS                  REV-02  </v>
          </cell>
          <cell r="D376" t="str">
            <v>29-009105-J OU 09101-D</v>
          </cell>
          <cell r="E376" t="str">
            <v>KION IND E COM LT</v>
          </cell>
          <cell r="F376">
            <v>401</v>
          </cell>
          <cell r="G376">
            <v>44018</v>
          </cell>
          <cell r="H376">
            <v>376920</v>
          </cell>
          <cell r="J376">
            <v>0</v>
          </cell>
          <cell r="K376">
            <v>400</v>
          </cell>
          <cell r="L376">
            <v>250</v>
          </cell>
          <cell r="O376">
            <v>250</v>
          </cell>
          <cell r="P376">
            <v>0</v>
          </cell>
          <cell r="Q376" t="str">
            <v>Trat. 03/07 - 754p - ZF</v>
          </cell>
          <cell r="T376">
            <v>7</v>
          </cell>
        </row>
        <row r="377">
          <cell r="A377">
            <v>980210001</v>
          </cell>
          <cell r="B377" t="str">
            <v>65.116.01238-7</v>
          </cell>
          <cell r="C377" t="str">
            <v xml:space="preserve">CHAPA PROT CONTROL TOUCH PCAP ROHS                  REV-02  </v>
          </cell>
          <cell r="D377" t="str">
            <v>29-009105-J OU 09101-D</v>
          </cell>
          <cell r="E377" t="str">
            <v>KION IND E COM LT</v>
          </cell>
          <cell r="F377">
            <v>401</v>
          </cell>
          <cell r="G377">
            <v>44025</v>
          </cell>
          <cell r="H377">
            <v>377203</v>
          </cell>
          <cell r="J377">
            <v>0</v>
          </cell>
          <cell r="K377">
            <v>350</v>
          </cell>
          <cell r="L377">
            <v>350</v>
          </cell>
          <cell r="O377">
            <v>350</v>
          </cell>
          <cell r="P377">
            <v>0</v>
          </cell>
          <cell r="Q377" t="str">
            <v>Trat. 03/07 - ZF</v>
          </cell>
          <cell r="T377">
            <v>7</v>
          </cell>
        </row>
        <row r="378">
          <cell r="A378">
            <v>979205001</v>
          </cell>
          <cell r="B378" t="str">
            <v>65.111.07178-1</v>
          </cell>
          <cell r="C378" t="str">
            <v>GUIA CURTO AFD ROHS                                 REV-01</v>
          </cell>
          <cell r="D378" t="str">
            <v/>
          </cell>
          <cell r="E378" t="str">
            <v>KION IND E COM LT</v>
          </cell>
          <cell r="F378">
            <v>401</v>
          </cell>
          <cell r="G378">
            <v>44088</v>
          </cell>
          <cell r="H378">
            <v>376920</v>
          </cell>
          <cell r="J378">
            <v>42</v>
          </cell>
          <cell r="K378">
            <v>190</v>
          </cell>
          <cell r="L378">
            <v>190</v>
          </cell>
          <cell r="P378">
            <v>190</v>
          </cell>
          <cell r="Q378" t="str">
            <v/>
          </cell>
          <cell r="S378" t="str">
            <v>DF</v>
          </cell>
          <cell r="T378" t="str">
            <v>DF</v>
          </cell>
        </row>
        <row r="379">
          <cell r="A379">
            <v>982093821</v>
          </cell>
          <cell r="B379" t="str">
            <v>65.111.07178-1</v>
          </cell>
          <cell r="C379" t="str">
            <v>GUIA CURTO AFD ROHS                                 REV-01</v>
          </cell>
          <cell r="D379" t="str">
            <v/>
          </cell>
          <cell r="E379" t="str">
            <v>KION IND E COM LT</v>
          </cell>
          <cell r="F379">
            <v>401</v>
          </cell>
          <cell r="G379">
            <v>44137</v>
          </cell>
          <cell r="H379">
            <v>378015</v>
          </cell>
          <cell r="J379">
            <v>91</v>
          </cell>
          <cell r="K379">
            <v>100</v>
          </cell>
          <cell r="L379">
            <v>100</v>
          </cell>
          <cell r="P379">
            <v>100</v>
          </cell>
          <cell r="Q379" t="str">
            <v/>
          </cell>
          <cell r="S379" t="str">
            <v>DF</v>
          </cell>
          <cell r="T379" t="str">
            <v>DF</v>
          </cell>
        </row>
        <row r="380">
          <cell r="A380">
            <v>202580142</v>
          </cell>
          <cell r="B380" t="str">
            <v>65.111.07188-0</v>
          </cell>
          <cell r="C380" t="str">
            <v xml:space="preserve">SUP MVL BARCODE ROHS                                REV-00  </v>
          </cell>
          <cell r="D380" t="str">
            <v/>
          </cell>
          <cell r="E380" t="str">
            <v>KION IND E COM LT</v>
          </cell>
          <cell r="F380">
            <v>401</v>
          </cell>
          <cell r="G380">
            <v>44025</v>
          </cell>
          <cell r="H380">
            <v>668725</v>
          </cell>
          <cell r="I380" t="str">
            <v>K</v>
          </cell>
          <cell r="J380">
            <v>-21</v>
          </cell>
          <cell r="K380">
            <v>100</v>
          </cell>
          <cell r="L380">
            <v>100</v>
          </cell>
          <cell r="P380">
            <v>100</v>
          </cell>
          <cell r="Q380" t="str">
            <v>ESTAMP. 30/07 - FM</v>
          </cell>
          <cell r="S380">
            <v>44067</v>
          </cell>
          <cell r="T380">
            <v>7</v>
          </cell>
        </row>
        <row r="381">
          <cell r="A381">
            <v>202580143</v>
          </cell>
          <cell r="B381" t="str">
            <v>65.111.07188-0</v>
          </cell>
          <cell r="C381" t="str">
            <v xml:space="preserve">SUP MVL BARCODE ROHS                                REV-00  </v>
          </cell>
          <cell r="D381" t="str">
            <v/>
          </cell>
          <cell r="E381" t="str">
            <v>KION IND E COM LT</v>
          </cell>
          <cell r="F381">
            <v>401</v>
          </cell>
          <cell r="G381">
            <v>44025</v>
          </cell>
          <cell r="H381">
            <v>668725</v>
          </cell>
          <cell r="I381" t="str">
            <v>K</v>
          </cell>
          <cell r="J381">
            <v>-21</v>
          </cell>
          <cell r="K381">
            <v>100</v>
          </cell>
          <cell r="L381">
            <v>100</v>
          </cell>
          <cell r="P381">
            <v>100</v>
          </cell>
          <cell r="Q381" t="str">
            <v>ESTAMP. 30/07 - FM</v>
          </cell>
          <cell r="S381">
            <v>44067</v>
          </cell>
          <cell r="T381">
            <v>7</v>
          </cell>
        </row>
        <row r="382">
          <cell r="A382">
            <v>202580144</v>
          </cell>
          <cell r="B382" t="str">
            <v>65.111.07188-0</v>
          </cell>
          <cell r="C382" t="str">
            <v xml:space="preserve">SUP MVL BARCODE ROHS                                REV-00  </v>
          </cell>
          <cell r="D382" t="str">
            <v/>
          </cell>
          <cell r="E382" t="str">
            <v>KION IND E COM LT</v>
          </cell>
          <cell r="F382">
            <v>401</v>
          </cell>
          <cell r="G382">
            <v>44025</v>
          </cell>
          <cell r="H382">
            <v>668725</v>
          </cell>
          <cell r="I382" t="str">
            <v>K</v>
          </cell>
          <cell r="J382">
            <v>-21</v>
          </cell>
          <cell r="K382">
            <v>100</v>
          </cell>
          <cell r="L382">
            <v>100</v>
          </cell>
          <cell r="P382">
            <v>100</v>
          </cell>
          <cell r="Q382" t="str">
            <v>ESTAMP. 30/07 - FM</v>
          </cell>
          <cell r="S382">
            <v>44074</v>
          </cell>
          <cell r="T382">
            <v>8</v>
          </cell>
        </row>
        <row r="383">
          <cell r="A383">
            <v>202580145</v>
          </cell>
          <cell r="B383" t="str">
            <v>65.111.07188-0</v>
          </cell>
          <cell r="C383" t="str">
            <v xml:space="preserve">SUP MVL BARCODE ROHS                                REV-00  </v>
          </cell>
          <cell r="D383" t="str">
            <v/>
          </cell>
          <cell r="E383" t="str">
            <v>KION IND E COM LT</v>
          </cell>
          <cell r="F383">
            <v>401</v>
          </cell>
          <cell r="G383">
            <v>44025</v>
          </cell>
          <cell r="H383">
            <v>668725</v>
          </cell>
          <cell r="I383" t="str">
            <v>K</v>
          </cell>
          <cell r="J383">
            <v>-21</v>
          </cell>
          <cell r="K383">
            <v>100</v>
          </cell>
          <cell r="L383">
            <v>100</v>
          </cell>
          <cell r="P383">
            <v>100</v>
          </cell>
          <cell r="Q383" t="str">
            <v>ESTAMP. 30/07 - FM</v>
          </cell>
          <cell r="S383">
            <v>44074</v>
          </cell>
          <cell r="T383">
            <v>8</v>
          </cell>
        </row>
        <row r="384">
          <cell r="A384">
            <v>202580146</v>
          </cell>
          <cell r="B384" t="str">
            <v>65.111.07188-0</v>
          </cell>
          <cell r="C384" t="str">
            <v xml:space="preserve">SUP MVL BARCODE ROHS                                REV-00  </v>
          </cell>
          <cell r="D384" t="str">
            <v/>
          </cell>
          <cell r="E384" t="str">
            <v>KION IND E COM LT</v>
          </cell>
          <cell r="F384">
            <v>401</v>
          </cell>
          <cell r="G384">
            <v>44025</v>
          </cell>
          <cell r="H384">
            <v>668725</v>
          </cell>
          <cell r="I384" t="str">
            <v>K</v>
          </cell>
          <cell r="J384">
            <v>-21</v>
          </cell>
          <cell r="K384">
            <v>100</v>
          </cell>
          <cell r="L384">
            <v>100</v>
          </cell>
          <cell r="P384">
            <v>100</v>
          </cell>
          <cell r="Q384" t="str">
            <v>ESTAMP. 30/07 - FM</v>
          </cell>
          <cell r="S384">
            <v>44081</v>
          </cell>
          <cell r="T384">
            <v>9</v>
          </cell>
        </row>
        <row r="385">
          <cell r="A385">
            <v>202580147</v>
          </cell>
          <cell r="B385" t="str">
            <v>65.111.07188-0</v>
          </cell>
          <cell r="C385" t="str">
            <v xml:space="preserve">SUP MVL BARCODE ROHS                                REV-00  </v>
          </cell>
          <cell r="D385" t="str">
            <v/>
          </cell>
          <cell r="E385" t="str">
            <v>KION IND E COM LT</v>
          </cell>
          <cell r="F385">
            <v>401</v>
          </cell>
          <cell r="G385">
            <v>44025</v>
          </cell>
          <cell r="H385">
            <v>668725</v>
          </cell>
          <cell r="I385" t="str">
            <v>K</v>
          </cell>
          <cell r="J385">
            <v>-21</v>
          </cell>
          <cell r="K385">
            <v>100</v>
          </cell>
          <cell r="L385">
            <v>100</v>
          </cell>
          <cell r="P385">
            <v>100</v>
          </cell>
          <cell r="Q385" t="str">
            <v>ESTAMP. 30/07 - FM</v>
          </cell>
          <cell r="S385">
            <v>44081</v>
          </cell>
          <cell r="T385">
            <v>9</v>
          </cell>
        </row>
        <row r="386">
          <cell r="A386">
            <v>202580148</v>
          </cell>
          <cell r="B386" t="str">
            <v>65.111.07188-0</v>
          </cell>
          <cell r="C386" t="str">
            <v xml:space="preserve">SUP MVL BARCODE ROHS                                REV-00  </v>
          </cell>
          <cell r="D386" t="str">
            <v/>
          </cell>
          <cell r="E386" t="str">
            <v>KION IND E COM LT</v>
          </cell>
          <cell r="F386">
            <v>401</v>
          </cell>
          <cell r="G386">
            <v>44025</v>
          </cell>
          <cell r="H386">
            <v>668725</v>
          </cell>
          <cell r="I386" t="str">
            <v>K</v>
          </cell>
          <cell r="J386">
            <v>-21</v>
          </cell>
          <cell r="K386">
            <v>100</v>
          </cell>
          <cell r="L386">
            <v>100</v>
          </cell>
          <cell r="P386">
            <v>100</v>
          </cell>
          <cell r="Q386" t="str">
            <v>ESTAMP. 30/07 - FM</v>
          </cell>
          <cell r="S386">
            <v>44088</v>
          </cell>
          <cell r="T386">
            <v>10</v>
          </cell>
        </row>
        <row r="387">
          <cell r="A387">
            <v>202580140</v>
          </cell>
          <cell r="B387" t="str">
            <v>65.111.07188-0</v>
          </cell>
          <cell r="C387" t="str">
            <v xml:space="preserve">SUP MVL BARCODE ROHS                                REV-00  </v>
          </cell>
          <cell r="D387" t="str">
            <v/>
          </cell>
          <cell r="E387" t="str">
            <v>KION IND E COM LT</v>
          </cell>
          <cell r="F387">
            <v>401</v>
          </cell>
          <cell r="G387">
            <v>44011</v>
          </cell>
          <cell r="H387">
            <v>668725</v>
          </cell>
          <cell r="I387" t="str">
            <v>K</v>
          </cell>
          <cell r="J387">
            <v>-35</v>
          </cell>
          <cell r="K387">
            <v>100</v>
          </cell>
          <cell r="L387">
            <v>100</v>
          </cell>
          <cell r="P387">
            <v>100</v>
          </cell>
          <cell r="Q387" t="str">
            <v>material em produção - previsão de entrega até 11/08</v>
          </cell>
          <cell r="S387">
            <v>44053</v>
          </cell>
          <cell r="T387">
            <v>5</v>
          </cell>
        </row>
        <row r="388">
          <cell r="A388">
            <v>202580141</v>
          </cell>
          <cell r="B388" t="str">
            <v>65.111.07188-0</v>
          </cell>
          <cell r="C388" t="str">
            <v xml:space="preserve">SUP MVL BARCODE ROHS                                REV-00  </v>
          </cell>
          <cell r="D388" t="str">
            <v/>
          </cell>
          <cell r="E388" t="str">
            <v>KION IND E COM LT</v>
          </cell>
          <cell r="F388">
            <v>401</v>
          </cell>
          <cell r="G388">
            <v>44025</v>
          </cell>
          <cell r="H388">
            <v>668725</v>
          </cell>
          <cell r="I388" t="str">
            <v>K</v>
          </cell>
          <cell r="J388">
            <v>-21</v>
          </cell>
          <cell r="K388">
            <v>100</v>
          </cell>
          <cell r="L388">
            <v>100</v>
          </cell>
          <cell r="P388">
            <v>100</v>
          </cell>
          <cell r="Q388" t="str">
            <v>material em produção - previsão de entrega até 11/08</v>
          </cell>
          <cell r="S388">
            <v>44053</v>
          </cell>
          <cell r="T388">
            <v>5</v>
          </cell>
        </row>
        <row r="389">
          <cell r="A389">
            <v>202588151</v>
          </cell>
          <cell r="B389" t="str">
            <v>65.111.07203-6</v>
          </cell>
          <cell r="C389" t="str">
            <v xml:space="preserve">SUP 2 BAT 12V ROHS                                  REV-02  </v>
          </cell>
          <cell r="D389" t="str">
            <v/>
          </cell>
          <cell r="E389" t="str">
            <v>KION IND E COM LT</v>
          </cell>
          <cell r="F389">
            <v>401</v>
          </cell>
          <cell r="G389">
            <v>44025</v>
          </cell>
          <cell r="H389">
            <v>668725</v>
          </cell>
          <cell r="I389" t="str">
            <v>K</v>
          </cell>
          <cell r="J389">
            <v>-21</v>
          </cell>
          <cell r="K389">
            <v>100</v>
          </cell>
          <cell r="L389">
            <v>100</v>
          </cell>
          <cell r="P389">
            <v>100</v>
          </cell>
          <cell r="Q389" t="str">
            <v>Trat. 22/07 - DIADEMA</v>
          </cell>
          <cell r="R389" t="str">
            <v>10/08 - A</v>
          </cell>
          <cell r="S389">
            <v>44067</v>
          </cell>
          <cell r="T389">
            <v>7</v>
          </cell>
        </row>
        <row r="390">
          <cell r="A390">
            <v>202588152</v>
          </cell>
          <cell r="B390" t="str">
            <v>65.111.07203-6</v>
          </cell>
          <cell r="C390" t="str">
            <v xml:space="preserve">SUP 2 BAT 12V ROHS                                  REV-02  </v>
          </cell>
          <cell r="D390" t="str">
            <v/>
          </cell>
          <cell r="E390" t="str">
            <v>KION IND E COM LT</v>
          </cell>
          <cell r="F390">
            <v>401</v>
          </cell>
          <cell r="G390">
            <v>44025</v>
          </cell>
          <cell r="H390">
            <v>668725</v>
          </cell>
          <cell r="I390" t="str">
            <v>K</v>
          </cell>
          <cell r="J390">
            <v>-21</v>
          </cell>
          <cell r="K390">
            <v>100</v>
          </cell>
          <cell r="L390">
            <v>100</v>
          </cell>
          <cell r="P390">
            <v>100</v>
          </cell>
          <cell r="Q390" t="str">
            <v>Trat. 22/07 - DIADEMA</v>
          </cell>
          <cell r="R390" t="str">
            <v>10/08 - A</v>
          </cell>
          <cell r="S390">
            <v>44067</v>
          </cell>
          <cell r="T390">
            <v>7</v>
          </cell>
        </row>
        <row r="391">
          <cell r="A391">
            <v>202588153</v>
          </cell>
          <cell r="B391" t="str">
            <v>65.111.07203-6</v>
          </cell>
          <cell r="C391" t="str">
            <v xml:space="preserve">SUP 2 BAT 12V ROHS                                  REV-02  </v>
          </cell>
          <cell r="D391" t="str">
            <v/>
          </cell>
          <cell r="E391" t="str">
            <v>KION IND E COM LT</v>
          </cell>
          <cell r="F391">
            <v>401</v>
          </cell>
          <cell r="G391">
            <v>44025</v>
          </cell>
          <cell r="H391">
            <v>668725</v>
          </cell>
          <cell r="I391" t="str">
            <v>K</v>
          </cell>
          <cell r="J391">
            <v>-21</v>
          </cell>
          <cell r="K391">
            <v>100</v>
          </cell>
          <cell r="L391">
            <v>100</v>
          </cell>
          <cell r="P391">
            <v>100</v>
          </cell>
          <cell r="Q391" t="str">
            <v>LASER 30/07 - FM</v>
          </cell>
          <cell r="S391">
            <v>44074</v>
          </cell>
          <cell r="T391">
            <v>8</v>
          </cell>
        </row>
        <row r="392">
          <cell r="A392">
            <v>202588154</v>
          </cell>
          <cell r="B392" t="str">
            <v>65.111.07203-6</v>
          </cell>
          <cell r="C392" t="str">
            <v xml:space="preserve">SUP 2 BAT 12V ROHS                                  REV-02  </v>
          </cell>
          <cell r="D392" t="str">
            <v/>
          </cell>
          <cell r="E392" t="str">
            <v>KION IND E COM LT</v>
          </cell>
          <cell r="F392">
            <v>401</v>
          </cell>
          <cell r="G392">
            <v>44025</v>
          </cell>
          <cell r="H392">
            <v>668725</v>
          </cell>
          <cell r="I392" t="str">
            <v>K</v>
          </cell>
          <cell r="J392">
            <v>-21</v>
          </cell>
          <cell r="K392">
            <v>100</v>
          </cell>
          <cell r="L392">
            <v>100</v>
          </cell>
          <cell r="P392">
            <v>100</v>
          </cell>
          <cell r="Q392" t="str">
            <v>LASER 30/07 - FM</v>
          </cell>
          <cell r="S392">
            <v>44074</v>
          </cell>
          <cell r="T392">
            <v>8</v>
          </cell>
        </row>
        <row r="393">
          <cell r="A393">
            <v>202588155</v>
          </cell>
          <cell r="B393" t="str">
            <v>65.111.07203-6</v>
          </cell>
          <cell r="C393" t="str">
            <v xml:space="preserve">SUP 2 BAT 12V ROHS                                  REV-02  </v>
          </cell>
          <cell r="D393" t="str">
            <v/>
          </cell>
          <cell r="E393" t="str">
            <v>KION IND E COM LT</v>
          </cell>
          <cell r="F393">
            <v>401</v>
          </cell>
          <cell r="G393">
            <v>44025</v>
          </cell>
          <cell r="H393">
            <v>668725</v>
          </cell>
          <cell r="I393" t="str">
            <v>K</v>
          </cell>
          <cell r="J393">
            <v>-21</v>
          </cell>
          <cell r="K393">
            <v>100</v>
          </cell>
          <cell r="L393">
            <v>100</v>
          </cell>
          <cell r="P393">
            <v>100</v>
          </cell>
          <cell r="Q393" t="str">
            <v>LASER 30/07 - FM</v>
          </cell>
          <cell r="S393">
            <v>44074</v>
          </cell>
          <cell r="T393">
            <v>8</v>
          </cell>
        </row>
        <row r="394">
          <cell r="A394">
            <v>202588156</v>
          </cell>
          <cell r="B394" t="str">
            <v>65.111.07203-6</v>
          </cell>
          <cell r="C394" t="str">
            <v xml:space="preserve">SUP 2 BAT 12V ROHS                                  REV-02  </v>
          </cell>
          <cell r="D394" t="str">
            <v/>
          </cell>
          <cell r="E394" t="str">
            <v>KION IND E COM LT</v>
          </cell>
          <cell r="F394">
            <v>401</v>
          </cell>
          <cell r="G394">
            <v>44025</v>
          </cell>
          <cell r="H394">
            <v>668725</v>
          </cell>
          <cell r="I394" t="str">
            <v>K</v>
          </cell>
          <cell r="J394">
            <v>-21</v>
          </cell>
          <cell r="K394">
            <v>100</v>
          </cell>
          <cell r="L394">
            <v>100</v>
          </cell>
          <cell r="P394">
            <v>100</v>
          </cell>
          <cell r="Q394" t="str">
            <v>LASER 30/07 - FM</v>
          </cell>
          <cell r="S394">
            <v>44081</v>
          </cell>
          <cell r="T394">
            <v>9</v>
          </cell>
        </row>
        <row r="395">
          <cell r="A395">
            <v>202588150</v>
          </cell>
          <cell r="B395" t="str">
            <v>65.111.07203-6</v>
          </cell>
          <cell r="C395" t="str">
            <v xml:space="preserve">SUP 2 BAT 12V ROHS                                  REV-02  </v>
          </cell>
          <cell r="D395" t="str">
            <v/>
          </cell>
          <cell r="E395" t="str">
            <v>KION IND E COM LT</v>
          </cell>
          <cell r="F395">
            <v>401</v>
          </cell>
          <cell r="G395">
            <v>44025</v>
          </cell>
          <cell r="H395">
            <v>668725</v>
          </cell>
          <cell r="I395" t="str">
            <v>K</v>
          </cell>
          <cell r="J395">
            <v>-21</v>
          </cell>
          <cell r="K395">
            <v>100</v>
          </cell>
          <cell r="L395">
            <v>100</v>
          </cell>
          <cell r="P395">
            <v>100</v>
          </cell>
          <cell r="Q395" t="str">
            <v>solicitando coleta em 04/08</v>
          </cell>
          <cell r="S395">
            <v>44053</v>
          </cell>
          <cell r="T395">
            <v>5</v>
          </cell>
        </row>
        <row r="396">
          <cell r="A396">
            <v>929494001</v>
          </cell>
          <cell r="B396" t="str">
            <v>65.111.07258-6</v>
          </cell>
          <cell r="C396" t="str">
            <v xml:space="preserve"> PROT CABOS MODULO SUPERIOR AFD SPLIT             REREV-00</v>
          </cell>
          <cell r="D396" t="str">
            <v/>
          </cell>
          <cell r="E396" t="str">
            <v>KION IND E COM LT</v>
          </cell>
          <cell r="F396">
            <v>401</v>
          </cell>
          <cell r="G396">
            <v>43283</v>
          </cell>
          <cell r="H396">
            <v>366989</v>
          </cell>
          <cell r="J396">
            <v>-763</v>
          </cell>
          <cell r="K396">
            <v>200</v>
          </cell>
          <cell r="L396">
            <v>200</v>
          </cell>
          <cell r="P396">
            <v>200</v>
          </cell>
          <cell r="Q396" t="str">
            <v>FALTA NUT</v>
          </cell>
          <cell r="S396" t="str">
            <v>DF</v>
          </cell>
          <cell r="T396" t="str">
            <v>DF</v>
          </cell>
        </row>
        <row r="397">
          <cell r="A397">
            <v>12108000199</v>
          </cell>
          <cell r="B397" t="str">
            <v>65.111.07273-9</v>
          </cell>
          <cell r="C397" t="str">
            <v xml:space="preserve">SUP BOBINA IMP ITATIAIA ROHS                        REV-02  </v>
          </cell>
          <cell r="D397" t="str">
            <v/>
          </cell>
          <cell r="E397" t="str">
            <v>KION IND E COM LT</v>
          </cell>
          <cell r="F397">
            <v>401</v>
          </cell>
          <cell r="G397">
            <v>44011</v>
          </cell>
          <cell r="H397">
            <v>668725</v>
          </cell>
          <cell r="I397" t="str">
            <v>K</v>
          </cell>
          <cell r="J397">
            <v>-35</v>
          </cell>
          <cell r="K397">
            <v>100</v>
          </cell>
          <cell r="L397">
            <v>100</v>
          </cell>
          <cell r="P397">
            <v>100</v>
          </cell>
          <cell r="Q397" t="str">
            <v>Trat. 07/08 - 550p - DIADEMA</v>
          </cell>
          <cell r="S397">
            <v>44067</v>
          </cell>
          <cell r="T397">
            <v>7</v>
          </cell>
        </row>
        <row r="398">
          <cell r="A398">
            <v>12108000200</v>
          </cell>
          <cell r="B398" t="str">
            <v>65.111.07273-9</v>
          </cell>
          <cell r="C398" t="str">
            <v xml:space="preserve">SUP BOBINA IMP ITATIAIA ROHS                        REV-02  </v>
          </cell>
          <cell r="D398" t="str">
            <v/>
          </cell>
          <cell r="E398" t="str">
            <v>KION IND E COM LT</v>
          </cell>
          <cell r="F398">
            <v>401</v>
          </cell>
          <cell r="G398">
            <v>44011</v>
          </cell>
          <cell r="H398">
            <v>668725</v>
          </cell>
          <cell r="I398" t="str">
            <v>K</v>
          </cell>
          <cell r="J398">
            <v>-35</v>
          </cell>
          <cell r="K398">
            <v>100</v>
          </cell>
          <cell r="L398">
            <v>100</v>
          </cell>
          <cell r="P398">
            <v>100</v>
          </cell>
          <cell r="Q398" t="str">
            <v>Trat. 07/08 - DIADEMA</v>
          </cell>
          <cell r="S398">
            <v>44067</v>
          </cell>
          <cell r="T398">
            <v>7</v>
          </cell>
        </row>
        <row r="399">
          <cell r="A399">
            <v>12108000201</v>
          </cell>
          <cell r="B399" t="str">
            <v>65.111.07273-9</v>
          </cell>
          <cell r="C399" t="str">
            <v xml:space="preserve">SUP BOBINA IMP ITATIAIA ROHS                        REV-02  </v>
          </cell>
          <cell r="D399" t="str">
            <v/>
          </cell>
          <cell r="E399" t="str">
            <v>KION IND E COM LT</v>
          </cell>
          <cell r="F399">
            <v>401</v>
          </cell>
          <cell r="G399">
            <v>44025</v>
          </cell>
          <cell r="H399">
            <v>668725</v>
          </cell>
          <cell r="I399" t="str">
            <v>K</v>
          </cell>
          <cell r="J399">
            <v>-21</v>
          </cell>
          <cell r="K399">
            <v>100</v>
          </cell>
          <cell r="L399">
            <v>100</v>
          </cell>
          <cell r="P399">
            <v>100</v>
          </cell>
          <cell r="Q399" t="str">
            <v>Trat. 07/08 - DIADEMA</v>
          </cell>
          <cell r="S399">
            <v>44067</v>
          </cell>
          <cell r="T399">
            <v>7</v>
          </cell>
        </row>
        <row r="400">
          <cell r="A400">
            <v>12108000202</v>
          </cell>
          <cell r="B400" t="str">
            <v>65.111.07273-9</v>
          </cell>
          <cell r="C400" t="str">
            <v xml:space="preserve">SUP BOBINA IMP ITATIAIA ROHS                        REV-02  </v>
          </cell>
          <cell r="D400" t="str">
            <v/>
          </cell>
          <cell r="E400" t="str">
            <v>KION IND E COM LT</v>
          </cell>
          <cell r="F400">
            <v>401</v>
          </cell>
          <cell r="G400">
            <v>44025</v>
          </cell>
          <cell r="H400">
            <v>668725</v>
          </cell>
          <cell r="I400" t="str">
            <v>K</v>
          </cell>
          <cell r="J400">
            <v>-21</v>
          </cell>
          <cell r="K400">
            <v>100</v>
          </cell>
          <cell r="L400">
            <v>100</v>
          </cell>
          <cell r="P400">
            <v>100</v>
          </cell>
          <cell r="Q400" t="str">
            <v>Trat. 07/08 - DIADEMA</v>
          </cell>
          <cell r="S400">
            <v>44074</v>
          </cell>
          <cell r="T400">
            <v>8</v>
          </cell>
        </row>
        <row r="401">
          <cell r="A401">
            <v>12108000203</v>
          </cell>
          <cell r="B401" t="str">
            <v>65.111.07273-9</v>
          </cell>
          <cell r="C401" t="str">
            <v xml:space="preserve">SUP BOBINA IMP ITATIAIA ROHS                        REV-02  </v>
          </cell>
          <cell r="D401" t="str">
            <v/>
          </cell>
          <cell r="E401" t="str">
            <v>KION IND E COM LT</v>
          </cell>
          <cell r="F401">
            <v>401</v>
          </cell>
          <cell r="G401">
            <v>44025</v>
          </cell>
          <cell r="H401">
            <v>668725</v>
          </cell>
          <cell r="I401" t="str">
            <v>K</v>
          </cell>
          <cell r="J401">
            <v>-21</v>
          </cell>
          <cell r="K401">
            <v>100</v>
          </cell>
          <cell r="L401">
            <v>100</v>
          </cell>
          <cell r="P401">
            <v>100</v>
          </cell>
          <cell r="Q401" t="str">
            <v>Trat. 07/08 - DIADEMA</v>
          </cell>
          <cell r="S401">
            <v>44074</v>
          </cell>
          <cell r="T401">
            <v>8</v>
          </cell>
        </row>
        <row r="402">
          <cell r="A402">
            <v>12108000204</v>
          </cell>
          <cell r="B402" t="str">
            <v>65.111.07273-9</v>
          </cell>
          <cell r="C402" t="str">
            <v xml:space="preserve">SUP BOBINA IMP ITATIAIA ROHS                        REV-02  </v>
          </cell>
          <cell r="D402" t="str">
            <v/>
          </cell>
          <cell r="E402" t="str">
            <v>KION IND E COM LT</v>
          </cell>
          <cell r="F402">
            <v>401</v>
          </cell>
          <cell r="G402">
            <v>44025</v>
          </cell>
          <cell r="H402">
            <v>668725</v>
          </cell>
          <cell r="I402" t="str">
            <v>K</v>
          </cell>
          <cell r="J402">
            <v>-21</v>
          </cell>
          <cell r="K402">
            <v>100</v>
          </cell>
          <cell r="L402">
            <v>100</v>
          </cell>
          <cell r="P402">
            <v>100</v>
          </cell>
          <cell r="Q402" t="str">
            <v>ESTAMP. 30/07 - FM</v>
          </cell>
          <cell r="S402">
            <v>44081</v>
          </cell>
          <cell r="T402">
            <v>9</v>
          </cell>
        </row>
        <row r="403">
          <cell r="A403">
            <v>12108000205</v>
          </cell>
          <cell r="B403" t="str">
            <v>65.111.07273-9</v>
          </cell>
          <cell r="C403" t="str">
            <v xml:space="preserve">SUP BOBINA IMP ITATIAIA ROHS                        REV-02  </v>
          </cell>
          <cell r="D403" t="str">
            <v/>
          </cell>
          <cell r="E403" t="str">
            <v>KION IND E COM LT</v>
          </cell>
          <cell r="F403">
            <v>401</v>
          </cell>
          <cell r="G403">
            <v>44025</v>
          </cell>
          <cell r="H403">
            <v>668725</v>
          </cell>
          <cell r="I403" t="str">
            <v>K</v>
          </cell>
          <cell r="J403">
            <v>-21</v>
          </cell>
          <cell r="K403">
            <v>100</v>
          </cell>
          <cell r="L403">
            <v>100</v>
          </cell>
          <cell r="P403">
            <v>100</v>
          </cell>
          <cell r="Q403" t="str">
            <v>ESTAMP. 30/07 - FM</v>
          </cell>
          <cell r="S403">
            <v>44081</v>
          </cell>
          <cell r="T403">
            <v>9</v>
          </cell>
        </row>
        <row r="404">
          <cell r="A404">
            <v>12108000206</v>
          </cell>
          <cell r="B404" t="str">
            <v>65.111.07273-9</v>
          </cell>
          <cell r="C404" t="str">
            <v xml:space="preserve">SUP BOBINA IMP ITATIAIA ROHS                        REV-02  </v>
          </cell>
          <cell r="D404" t="str">
            <v/>
          </cell>
          <cell r="E404" t="str">
            <v>KION IND E COM LT</v>
          </cell>
          <cell r="F404">
            <v>401</v>
          </cell>
          <cell r="G404">
            <v>44025</v>
          </cell>
          <cell r="H404">
            <v>668725</v>
          </cell>
          <cell r="I404" t="str">
            <v>K</v>
          </cell>
          <cell r="J404">
            <v>-21</v>
          </cell>
          <cell r="K404">
            <v>100</v>
          </cell>
          <cell r="L404">
            <v>100</v>
          </cell>
          <cell r="P404">
            <v>100</v>
          </cell>
          <cell r="Q404" t="str">
            <v>ESTAMP. 30/07 - FM</v>
          </cell>
          <cell r="S404">
            <v>44081</v>
          </cell>
          <cell r="T404">
            <v>9</v>
          </cell>
        </row>
        <row r="405">
          <cell r="A405">
            <v>12108000207</v>
          </cell>
          <cell r="B405" t="str">
            <v>65.111.07273-9</v>
          </cell>
          <cell r="C405" t="str">
            <v xml:space="preserve">SUP BOBINA IMP ITATIAIA ROHS                        REV-02  </v>
          </cell>
          <cell r="D405" t="str">
            <v/>
          </cell>
          <cell r="E405" t="str">
            <v>KION IND E COM LT</v>
          </cell>
          <cell r="F405">
            <v>401</v>
          </cell>
          <cell r="G405">
            <v>44025</v>
          </cell>
          <cell r="H405">
            <v>668725</v>
          </cell>
          <cell r="I405" t="str">
            <v>K</v>
          </cell>
          <cell r="J405">
            <v>-21</v>
          </cell>
          <cell r="K405">
            <v>100</v>
          </cell>
          <cell r="L405">
            <v>100</v>
          </cell>
          <cell r="P405">
            <v>100</v>
          </cell>
          <cell r="Q405" t="str">
            <v>ESTAMP. 30/07 - FM</v>
          </cell>
          <cell r="S405">
            <v>44081</v>
          </cell>
          <cell r="T405">
            <v>9</v>
          </cell>
        </row>
        <row r="406">
          <cell r="A406">
            <v>12108000208</v>
          </cell>
          <cell r="B406" t="str">
            <v>65.111.07273-9</v>
          </cell>
          <cell r="C406" t="str">
            <v xml:space="preserve">SUP BOBINA IMP ITATIAIA ROHS                        REV-02  </v>
          </cell>
          <cell r="D406" t="str">
            <v/>
          </cell>
          <cell r="E406" t="str">
            <v>KION IND E COM LT</v>
          </cell>
          <cell r="F406">
            <v>401</v>
          </cell>
          <cell r="G406">
            <v>44025</v>
          </cell>
          <cell r="H406">
            <v>668725</v>
          </cell>
          <cell r="I406" t="str">
            <v>K</v>
          </cell>
          <cell r="J406">
            <v>-21</v>
          </cell>
          <cell r="K406">
            <v>100</v>
          </cell>
          <cell r="L406">
            <v>100</v>
          </cell>
          <cell r="P406">
            <v>100</v>
          </cell>
          <cell r="Q406" t="str">
            <v>ESTAMP. 30/07 - FM</v>
          </cell>
          <cell r="S406">
            <v>44088</v>
          </cell>
          <cell r="T406">
            <v>10</v>
          </cell>
        </row>
        <row r="407">
          <cell r="A407">
            <v>12108000209</v>
          </cell>
          <cell r="B407" t="str">
            <v>65.111.07273-9</v>
          </cell>
          <cell r="C407" t="str">
            <v xml:space="preserve">SUP BOBINA IMP ITATIAIA ROHS                        REV-02  </v>
          </cell>
          <cell r="D407" t="str">
            <v/>
          </cell>
          <cell r="E407" t="str">
            <v>KION IND E COM LT</v>
          </cell>
          <cell r="F407">
            <v>401</v>
          </cell>
          <cell r="G407">
            <v>44025</v>
          </cell>
          <cell r="H407">
            <v>668725</v>
          </cell>
          <cell r="I407" t="str">
            <v>K</v>
          </cell>
          <cell r="J407">
            <v>-21</v>
          </cell>
          <cell r="K407">
            <v>100</v>
          </cell>
          <cell r="L407">
            <v>100</v>
          </cell>
          <cell r="P407">
            <v>100</v>
          </cell>
          <cell r="Q407" t="str">
            <v>ESTAMP. 30/07 - FM</v>
          </cell>
          <cell r="S407">
            <v>44088</v>
          </cell>
          <cell r="T407">
            <v>10</v>
          </cell>
        </row>
        <row r="408">
          <cell r="A408">
            <v>202594115</v>
          </cell>
          <cell r="B408" t="str">
            <v>65.111.07312-1</v>
          </cell>
          <cell r="C408" t="str">
            <v xml:space="preserve">SUP FIXO CAM ROHS                                   REV-02  </v>
          </cell>
          <cell r="D408" t="str">
            <v>29-008850-000C</v>
          </cell>
          <cell r="E408" t="str">
            <v>KION IND E COM LT</v>
          </cell>
          <cell r="F408">
            <v>401</v>
          </cell>
          <cell r="G408">
            <v>44025</v>
          </cell>
          <cell r="H408">
            <v>668725</v>
          </cell>
          <cell r="I408" t="str">
            <v>K</v>
          </cell>
          <cell r="J408">
            <v>-21</v>
          </cell>
          <cell r="K408">
            <v>100</v>
          </cell>
          <cell r="L408">
            <v>100</v>
          </cell>
          <cell r="P408">
            <v>100</v>
          </cell>
          <cell r="Q408" t="str">
            <v>ESTAMP. 30/07 - FM</v>
          </cell>
          <cell r="S408">
            <v>44067</v>
          </cell>
          <cell r="T408">
            <v>7</v>
          </cell>
        </row>
        <row r="409">
          <cell r="A409">
            <v>202594116</v>
          </cell>
          <cell r="B409" t="str">
            <v>65.111.07312-1</v>
          </cell>
          <cell r="C409" t="str">
            <v xml:space="preserve">SUP FIXO CAM ROHS                                   REV-02  </v>
          </cell>
          <cell r="D409" t="str">
            <v>29-008850-000C</v>
          </cell>
          <cell r="E409" t="str">
            <v>KION IND E COM LT</v>
          </cell>
          <cell r="F409">
            <v>401</v>
          </cell>
          <cell r="G409">
            <v>44025</v>
          </cell>
          <cell r="H409">
            <v>668725</v>
          </cell>
          <cell r="I409" t="str">
            <v>K</v>
          </cell>
          <cell r="J409">
            <v>-21</v>
          </cell>
          <cell r="K409">
            <v>100</v>
          </cell>
          <cell r="L409">
            <v>100</v>
          </cell>
          <cell r="P409">
            <v>100</v>
          </cell>
          <cell r="Q409" t="str">
            <v>ESTAMP. 30/07 - FM</v>
          </cell>
          <cell r="S409">
            <v>44074</v>
          </cell>
          <cell r="T409">
            <v>8</v>
          </cell>
        </row>
        <row r="410">
          <cell r="A410">
            <v>202594117</v>
          </cell>
          <cell r="B410" t="str">
            <v>65.111.07312-1</v>
          </cell>
          <cell r="C410" t="str">
            <v xml:space="preserve">SUP FIXO CAM ROHS                                   REV-02  </v>
          </cell>
          <cell r="D410" t="str">
            <v>29-008850-000C</v>
          </cell>
          <cell r="E410" t="str">
            <v>KION IND E COM LT</v>
          </cell>
          <cell r="F410">
            <v>401</v>
          </cell>
          <cell r="G410">
            <v>44025</v>
          </cell>
          <cell r="H410">
            <v>668725</v>
          </cell>
          <cell r="I410" t="str">
            <v>K</v>
          </cell>
          <cell r="J410">
            <v>-21</v>
          </cell>
          <cell r="K410">
            <v>100</v>
          </cell>
          <cell r="L410">
            <v>100</v>
          </cell>
          <cell r="P410">
            <v>100</v>
          </cell>
          <cell r="Q410" t="str">
            <v>ESTAMP. 30/07 - FM</v>
          </cell>
          <cell r="S410">
            <v>44081</v>
          </cell>
          <cell r="T410">
            <v>9</v>
          </cell>
        </row>
        <row r="411">
          <cell r="A411">
            <v>202594118</v>
          </cell>
          <cell r="B411" t="str">
            <v>65.111.07312-1</v>
          </cell>
          <cell r="C411" t="str">
            <v xml:space="preserve">SUP FIXO CAM ROHS                                   REV-02  </v>
          </cell>
          <cell r="D411" t="str">
            <v>29-008850-000C</v>
          </cell>
          <cell r="E411" t="str">
            <v>KION IND E COM LT</v>
          </cell>
          <cell r="F411">
            <v>401</v>
          </cell>
          <cell r="G411">
            <v>44025</v>
          </cell>
          <cell r="H411">
            <v>668725</v>
          </cell>
          <cell r="I411" t="str">
            <v>K</v>
          </cell>
          <cell r="J411">
            <v>-21</v>
          </cell>
          <cell r="K411">
            <v>100</v>
          </cell>
          <cell r="L411">
            <v>100</v>
          </cell>
          <cell r="P411">
            <v>100</v>
          </cell>
          <cell r="Q411" t="str">
            <v>ESTAMP. 30/07 - FM</v>
          </cell>
          <cell r="S411">
            <v>44081</v>
          </cell>
          <cell r="T411">
            <v>9</v>
          </cell>
        </row>
        <row r="412">
          <cell r="A412">
            <v>202594114</v>
          </cell>
          <cell r="B412" t="str">
            <v>65.111.07312-1</v>
          </cell>
          <cell r="C412" t="str">
            <v xml:space="preserve">SUP FIXO CAM ROHS                                   REV-02  </v>
          </cell>
          <cell r="D412" t="str">
            <v>29-008850-000C</v>
          </cell>
          <cell r="E412" t="str">
            <v>KION IND E COM LT</v>
          </cell>
          <cell r="F412">
            <v>401</v>
          </cell>
          <cell r="G412">
            <v>44011</v>
          </cell>
          <cell r="H412">
            <v>668725</v>
          </cell>
          <cell r="I412" t="str">
            <v>K</v>
          </cell>
          <cell r="J412">
            <v>-35</v>
          </cell>
          <cell r="K412">
            <v>100</v>
          </cell>
          <cell r="L412">
            <v>100</v>
          </cell>
          <cell r="P412">
            <v>100</v>
          </cell>
          <cell r="Q412" t="str">
            <v>material em produção - previsão de entrega até 11/08</v>
          </cell>
          <cell r="S412">
            <v>44053</v>
          </cell>
          <cell r="T412">
            <v>5</v>
          </cell>
        </row>
        <row r="413">
          <cell r="A413">
            <v>982074531</v>
          </cell>
          <cell r="B413" t="str">
            <v>65.111.07328-2</v>
          </cell>
          <cell r="C413" t="str">
            <v xml:space="preserve">SUPT SENSOR POSIC PNL DCASH ROHS                    REV-00  </v>
          </cell>
          <cell r="D413" t="str">
            <v/>
          </cell>
          <cell r="E413" t="str">
            <v>KION IND E COM LT</v>
          </cell>
          <cell r="F413">
            <v>401</v>
          </cell>
          <cell r="G413">
            <v>44046</v>
          </cell>
          <cell r="H413">
            <v>377859</v>
          </cell>
          <cell r="J413">
            <v>0</v>
          </cell>
          <cell r="K413">
            <v>150</v>
          </cell>
          <cell r="L413">
            <v>150</v>
          </cell>
          <cell r="P413">
            <v>150</v>
          </cell>
          <cell r="Q413" t="str">
            <v>material em tratamento superficial - previsão de entrega até 07/08</v>
          </cell>
          <cell r="S413">
            <v>44046</v>
          </cell>
          <cell r="T413">
            <v>4</v>
          </cell>
        </row>
        <row r="414">
          <cell r="A414">
            <v>982074532</v>
          </cell>
          <cell r="B414" t="str">
            <v>65.111.07328-2</v>
          </cell>
          <cell r="C414" t="str">
            <v xml:space="preserve">SUPT SENSOR POSIC PNL DCASH ROHS                    REV-00  </v>
          </cell>
          <cell r="D414" t="str">
            <v/>
          </cell>
          <cell r="E414" t="str">
            <v>KION IND E COM LT</v>
          </cell>
          <cell r="F414">
            <v>401</v>
          </cell>
          <cell r="G414">
            <v>44067</v>
          </cell>
          <cell r="H414">
            <v>377859</v>
          </cell>
          <cell r="J414">
            <v>21</v>
          </cell>
          <cell r="K414">
            <v>100</v>
          </cell>
          <cell r="L414">
            <v>100</v>
          </cell>
          <cell r="P414">
            <v>100</v>
          </cell>
          <cell r="Q414" t="str">
            <v>Trat. 03/08 - DIADEMA</v>
          </cell>
          <cell r="S414">
            <v>44081</v>
          </cell>
          <cell r="T414">
            <v>9</v>
          </cell>
        </row>
        <row r="415">
          <cell r="A415">
            <v>982088971</v>
          </cell>
          <cell r="B415" t="str">
            <v>65.111.07335-0</v>
          </cell>
          <cell r="C415" t="str">
            <v>ABA APOIO BASE MVL TEC EPP7 ROHS                    REV-00</v>
          </cell>
          <cell r="D415" t="str">
            <v/>
          </cell>
          <cell r="E415" t="str">
            <v>KION IND E COM LT</v>
          </cell>
          <cell r="F415">
            <v>401</v>
          </cell>
          <cell r="G415">
            <v>44116</v>
          </cell>
          <cell r="H415">
            <v>377860</v>
          </cell>
          <cell r="J415">
            <v>70</v>
          </cell>
          <cell r="K415">
            <v>200</v>
          </cell>
          <cell r="L415">
            <v>200</v>
          </cell>
          <cell r="P415">
            <v>200</v>
          </cell>
          <cell r="Q415" t="str">
            <v/>
          </cell>
          <cell r="S415" t="str">
            <v>DF</v>
          </cell>
          <cell r="T415" t="str">
            <v>DF</v>
          </cell>
        </row>
        <row r="416">
          <cell r="A416">
            <v>974350001</v>
          </cell>
          <cell r="B416" t="str">
            <v>65.111.07353-4</v>
          </cell>
          <cell r="C416" t="str">
            <v xml:space="preserve">CALHA PROT CBS FINGER ROHS                          REV-02  </v>
          </cell>
          <cell r="D416" t="str">
            <v/>
          </cell>
          <cell r="E416" t="str">
            <v>KION IND E COM LT</v>
          </cell>
          <cell r="F416">
            <v>401</v>
          </cell>
          <cell r="G416">
            <v>43920</v>
          </cell>
          <cell r="H416">
            <v>375976</v>
          </cell>
          <cell r="J416">
            <v>-126</v>
          </cell>
          <cell r="K416">
            <v>100</v>
          </cell>
          <cell r="L416">
            <v>1</v>
          </cell>
          <cell r="P416">
            <v>1</v>
          </cell>
          <cell r="Q416" t="str">
            <v>EST OK</v>
          </cell>
          <cell r="T416" t="str">
            <v>S Con</v>
          </cell>
        </row>
        <row r="417">
          <cell r="A417">
            <v>982074482</v>
          </cell>
          <cell r="B417" t="str">
            <v>65.111.07361-9</v>
          </cell>
          <cell r="C417" t="str">
            <v xml:space="preserve">LINGUETA FECHADURA TRV PAIN SUP DCASH ROHS          REV-01  </v>
          </cell>
          <cell r="D417" t="str">
            <v/>
          </cell>
          <cell r="E417" t="str">
            <v>KION IND E COM LT</v>
          </cell>
          <cell r="F417">
            <v>401</v>
          </cell>
          <cell r="G417">
            <v>44060</v>
          </cell>
          <cell r="H417">
            <v>377859</v>
          </cell>
          <cell r="J417">
            <v>14</v>
          </cell>
          <cell r="K417">
            <v>100</v>
          </cell>
          <cell r="L417">
            <v>100</v>
          </cell>
          <cell r="P417">
            <v>100</v>
          </cell>
          <cell r="Q417" t="str">
            <v>Trat. 28/07 - DIADEMA</v>
          </cell>
          <cell r="S417">
            <v>44067</v>
          </cell>
          <cell r="T417">
            <v>7</v>
          </cell>
        </row>
        <row r="418">
          <cell r="A418">
            <v>982074483</v>
          </cell>
          <cell r="B418" t="str">
            <v>65.111.07361-9</v>
          </cell>
          <cell r="C418" t="str">
            <v xml:space="preserve">LINGUETA FECHADURA TRV PAIN SUP DCASH ROHS          REV-01  </v>
          </cell>
          <cell r="D418" t="str">
            <v/>
          </cell>
          <cell r="E418" t="str">
            <v>KION IND E COM LT</v>
          </cell>
          <cell r="F418">
            <v>401</v>
          </cell>
          <cell r="G418">
            <v>44067</v>
          </cell>
          <cell r="H418">
            <v>377859</v>
          </cell>
          <cell r="J418">
            <v>21</v>
          </cell>
          <cell r="K418">
            <v>100</v>
          </cell>
          <cell r="L418">
            <v>100</v>
          </cell>
          <cell r="P418">
            <v>100</v>
          </cell>
          <cell r="Q418" t="str">
            <v>Trat. 28/07 - DIADEMA</v>
          </cell>
          <cell r="S418">
            <v>44081</v>
          </cell>
          <cell r="T418">
            <v>9</v>
          </cell>
        </row>
        <row r="419">
          <cell r="A419">
            <v>982074492</v>
          </cell>
          <cell r="B419" t="str">
            <v>65.111.07362-6</v>
          </cell>
          <cell r="C419" t="str">
            <v xml:space="preserve">GUIA HASTE TRAV PNL SUPERIOR DCASH ROHS             REV-01  </v>
          </cell>
          <cell r="D419" t="str">
            <v/>
          </cell>
          <cell r="E419" t="str">
            <v>KION IND E COM LT</v>
          </cell>
          <cell r="F419">
            <v>401</v>
          </cell>
          <cell r="G419">
            <v>44067</v>
          </cell>
          <cell r="H419">
            <v>377859</v>
          </cell>
          <cell r="J419">
            <v>21</v>
          </cell>
          <cell r="K419">
            <v>100</v>
          </cell>
          <cell r="L419">
            <v>100</v>
          </cell>
          <cell r="P419">
            <v>100</v>
          </cell>
          <cell r="Q419" t="str">
            <v>Trat. 28/07 - DIADEMA</v>
          </cell>
          <cell r="S419">
            <v>44081</v>
          </cell>
          <cell r="T419">
            <v>9</v>
          </cell>
        </row>
        <row r="420">
          <cell r="A420">
            <v>982074501</v>
          </cell>
          <cell r="B420" t="str">
            <v>65.111.07363-3</v>
          </cell>
          <cell r="C420" t="str">
            <v>HASTE TRAVA PNL SUPERIOR DCASH ROHS                 REV-01</v>
          </cell>
          <cell r="D420" t="str">
            <v/>
          </cell>
          <cell r="E420" t="str">
            <v>KION IND E COM LT</v>
          </cell>
          <cell r="F420">
            <v>401</v>
          </cell>
          <cell r="G420">
            <v>44046</v>
          </cell>
          <cell r="H420">
            <v>377859</v>
          </cell>
          <cell r="J420">
            <v>0</v>
          </cell>
          <cell r="K420">
            <v>150</v>
          </cell>
          <cell r="L420">
            <v>150</v>
          </cell>
          <cell r="P420">
            <v>150</v>
          </cell>
          <cell r="Q420" t="str">
            <v>Trat. 07/08 - 350p - DIADEMA</v>
          </cell>
          <cell r="S420">
            <v>44046</v>
          </cell>
          <cell r="T420">
            <v>4</v>
          </cell>
        </row>
        <row r="421">
          <cell r="A421">
            <v>982074502</v>
          </cell>
          <cell r="B421" t="str">
            <v>65.111.07363-3</v>
          </cell>
          <cell r="C421" t="str">
            <v>HASTE TRAVA PNL SUPERIOR DCASH ROHS                 REV-01</v>
          </cell>
          <cell r="D421" t="str">
            <v/>
          </cell>
          <cell r="E421" t="str">
            <v>KION IND E COM LT</v>
          </cell>
          <cell r="F421">
            <v>401</v>
          </cell>
          <cell r="G421">
            <v>44060</v>
          </cell>
          <cell r="H421">
            <v>377859</v>
          </cell>
          <cell r="J421">
            <v>14</v>
          </cell>
          <cell r="K421">
            <v>100</v>
          </cell>
          <cell r="L421">
            <v>100</v>
          </cell>
          <cell r="P421">
            <v>100</v>
          </cell>
          <cell r="Q421" t="str">
            <v>Trat. 07/08 - DIADEMA</v>
          </cell>
          <cell r="S421">
            <v>44067</v>
          </cell>
          <cell r="T421">
            <v>7</v>
          </cell>
        </row>
        <row r="422">
          <cell r="A422">
            <v>982074503</v>
          </cell>
          <cell r="B422" t="str">
            <v>65.111.07363-3</v>
          </cell>
          <cell r="C422" t="str">
            <v>HASTE TRAVA PNL SUPERIOR DCASH ROHS                 REV-01</v>
          </cell>
          <cell r="D422" t="str">
            <v/>
          </cell>
          <cell r="E422" t="str">
            <v>KION IND E COM LT</v>
          </cell>
          <cell r="F422">
            <v>401</v>
          </cell>
          <cell r="G422">
            <v>44067</v>
          </cell>
          <cell r="H422">
            <v>377859</v>
          </cell>
          <cell r="J422">
            <v>21</v>
          </cell>
          <cell r="K422">
            <v>100</v>
          </cell>
          <cell r="L422">
            <v>100</v>
          </cell>
          <cell r="P422">
            <v>100</v>
          </cell>
          <cell r="Q422" t="str">
            <v>Trat. 07/08 - DIADEMA</v>
          </cell>
          <cell r="S422">
            <v>44081</v>
          </cell>
          <cell r="T422">
            <v>9</v>
          </cell>
        </row>
        <row r="423">
          <cell r="A423">
            <v>982074521</v>
          </cell>
          <cell r="B423" t="str">
            <v>65.111.07365-7</v>
          </cell>
          <cell r="C423" t="str">
            <v xml:space="preserve">BATENTE PNL SUP DCASH ROHS                          REV-01  </v>
          </cell>
          <cell r="D423" t="str">
            <v/>
          </cell>
          <cell r="E423" t="str">
            <v>KION IND E COM LT</v>
          </cell>
          <cell r="F423">
            <v>401</v>
          </cell>
          <cell r="G423">
            <v>44046</v>
          </cell>
          <cell r="H423">
            <v>377859</v>
          </cell>
          <cell r="J423">
            <v>0</v>
          </cell>
          <cell r="K423">
            <v>150</v>
          </cell>
          <cell r="L423">
            <v>150</v>
          </cell>
          <cell r="P423">
            <v>150</v>
          </cell>
          <cell r="Q423" t="str">
            <v>material em tratamento superficial - previsão de entrega até 07/08</v>
          </cell>
          <cell r="S423">
            <v>44046</v>
          </cell>
          <cell r="T423">
            <v>4</v>
          </cell>
        </row>
        <row r="424">
          <cell r="A424">
            <v>982074522</v>
          </cell>
          <cell r="B424" t="str">
            <v>65.111.07365-7</v>
          </cell>
          <cell r="C424" t="str">
            <v xml:space="preserve">BATENTE PNL SUP DCASH ROHS                          REV-01  </v>
          </cell>
          <cell r="D424" t="str">
            <v/>
          </cell>
          <cell r="E424" t="str">
            <v>KION IND E COM LT</v>
          </cell>
          <cell r="F424">
            <v>401</v>
          </cell>
          <cell r="G424">
            <v>44060</v>
          </cell>
          <cell r="H424">
            <v>377859</v>
          </cell>
          <cell r="J424">
            <v>14</v>
          </cell>
          <cell r="K424">
            <v>100</v>
          </cell>
          <cell r="L424">
            <v>100</v>
          </cell>
          <cell r="P424">
            <v>100</v>
          </cell>
          <cell r="Q424" t="str">
            <v>Trat. 03/08 - DIADEMA</v>
          </cell>
          <cell r="R424" t="str">
            <v>10/08 - A</v>
          </cell>
          <cell r="S424">
            <v>44067</v>
          </cell>
          <cell r="T424">
            <v>7</v>
          </cell>
        </row>
        <row r="425">
          <cell r="A425">
            <v>982074523</v>
          </cell>
          <cell r="B425" t="str">
            <v>65.111.07365-7</v>
          </cell>
          <cell r="C425" t="str">
            <v xml:space="preserve">BATENTE PNL SUP DCASH ROHS                          REV-01  </v>
          </cell>
          <cell r="D425" t="str">
            <v/>
          </cell>
          <cell r="E425" t="str">
            <v>KION IND E COM LT</v>
          </cell>
          <cell r="F425">
            <v>401</v>
          </cell>
          <cell r="G425">
            <v>44067</v>
          </cell>
          <cell r="H425">
            <v>377859</v>
          </cell>
          <cell r="J425">
            <v>21</v>
          </cell>
          <cell r="K425">
            <v>100</v>
          </cell>
          <cell r="L425">
            <v>100</v>
          </cell>
          <cell r="P425">
            <v>100</v>
          </cell>
          <cell r="Q425" t="str">
            <v>OP 22/07 - FM</v>
          </cell>
          <cell r="S425">
            <v>44081</v>
          </cell>
          <cell r="T425">
            <v>9</v>
          </cell>
        </row>
        <row r="426">
          <cell r="A426">
            <v>940388001</v>
          </cell>
          <cell r="B426" t="str">
            <v>65.111.07370-1</v>
          </cell>
          <cell r="C426" t="str">
            <v xml:space="preserve">BASE BANDEJA IDMBD ATMR6750 BDN                     REV-00  </v>
          </cell>
          <cell r="D426" t="str">
            <v/>
          </cell>
          <cell r="E426" t="str">
            <v>KION IND E COM LT</v>
          </cell>
          <cell r="F426">
            <v>401</v>
          </cell>
          <cell r="G426">
            <v>43478</v>
          </cell>
          <cell r="H426">
            <v>369545</v>
          </cell>
          <cell r="J426">
            <v>-568</v>
          </cell>
          <cell r="K426">
            <v>60</v>
          </cell>
          <cell r="L426">
            <v>1</v>
          </cell>
          <cell r="P426">
            <v>1</v>
          </cell>
          <cell r="Q426" t="str">
            <v>EST OK</v>
          </cell>
          <cell r="T426" t="str">
            <v>S Con</v>
          </cell>
        </row>
        <row r="427">
          <cell r="A427">
            <v>999931483</v>
          </cell>
          <cell r="B427" t="str">
            <v>65.111.08311-5</v>
          </cell>
          <cell r="C427" t="str">
            <v>SUP FIX BASE LT BIOM LUMIDIGM BB/SANTANDER  ROHS    REV-00</v>
          </cell>
          <cell r="D427" t="str">
            <v/>
          </cell>
          <cell r="E427" t="str">
            <v>KION IND E COM LT</v>
          </cell>
          <cell r="F427">
            <v>401</v>
          </cell>
          <cell r="G427">
            <v>43997</v>
          </cell>
          <cell r="H427">
            <v>668725</v>
          </cell>
          <cell r="I427" t="str">
            <v>K</v>
          </cell>
          <cell r="J427">
            <v>0</v>
          </cell>
          <cell r="K427">
            <v>100</v>
          </cell>
          <cell r="L427">
            <v>100</v>
          </cell>
          <cell r="M427">
            <v>100</v>
          </cell>
          <cell r="P427">
            <v>0</v>
          </cell>
          <cell r="Q427" t="str">
            <v>Trat. 03/07 - REALPOX</v>
          </cell>
          <cell r="T427">
            <v>8</v>
          </cell>
        </row>
        <row r="428">
          <cell r="A428">
            <v>999931484</v>
          </cell>
          <cell r="B428" t="str">
            <v>65.111.08311-5</v>
          </cell>
          <cell r="C428" t="str">
            <v>SUP FIX BASE LT BIOM LUMIDIGM BB/SANTANDER  ROHS    REV-00</v>
          </cell>
          <cell r="D428" t="str">
            <v/>
          </cell>
          <cell r="E428" t="str">
            <v>KION IND E COM LT</v>
          </cell>
          <cell r="F428">
            <v>401</v>
          </cell>
          <cell r="G428">
            <v>44011</v>
          </cell>
          <cell r="H428">
            <v>668725</v>
          </cell>
          <cell r="I428" t="str">
            <v>K</v>
          </cell>
          <cell r="J428">
            <v>0</v>
          </cell>
          <cell r="K428">
            <v>100</v>
          </cell>
          <cell r="L428">
            <v>100</v>
          </cell>
          <cell r="N428">
            <v>100</v>
          </cell>
          <cell r="P428">
            <v>0</v>
          </cell>
          <cell r="Q428" t="str">
            <v>Trat. 27/07 - 304p - PRIME</v>
          </cell>
          <cell r="T428">
            <v>8</v>
          </cell>
        </row>
        <row r="429">
          <cell r="A429">
            <v>999931485</v>
          </cell>
          <cell r="B429" t="str">
            <v>65.111.08311-5</v>
          </cell>
          <cell r="C429" t="str">
            <v>SUP FIX BASE LT BIOM LUMIDIGM BB/SANTANDER  ROHS    REV-00</v>
          </cell>
          <cell r="D429" t="str">
            <v/>
          </cell>
          <cell r="E429" t="str">
            <v>KION IND E COM LT</v>
          </cell>
          <cell r="F429">
            <v>401</v>
          </cell>
          <cell r="G429">
            <v>44011</v>
          </cell>
          <cell r="H429">
            <v>668725</v>
          </cell>
          <cell r="I429" t="str">
            <v>K</v>
          </cell>
          <cell r="J429">
            <v>0</v>
          </cell>
          <cell r="K429">
            <v>100</v>
          </cell>
          <cell r="L429">
            <v>100</v>
          </cell>
          <cell r="N429">
            <v>100</v>
          </cell>
          <cell r="P429">
            <v>0</v>
          </cell>
          <cell r="Q429" t="str">
            <v>Trat. 27/07 - PRIME</v>
          </cell>
          <cell r="T429">
            <v>8</v>
          </cell>
        </row>
        <row r="430">
          <cell r="A430">
            <v>999931486</v>
          </cell>
          <cell r="B430" t="str">
            <v>65.111.08311-5</v>
          </cell>
          <cell r="C430" t="str">
            <v>SUP FIX BASE LT BIOM LUMIDIGM BB/SANTANDER  ROHS    REV-00</v>
          </cell>
          <cell r="D430" t="str">
            <v/>
          </cell>
          <cell r="E430" t="str">
            <v>KION IND E COM LT</v>
          </cell>
          <cell r="F430">
            <v>401</v>
          </cell>
          <cell r="G430">
            <v>44025</v>
          </cell>
          <cell r="H430">
            <v>668725</v>
          </cell>
          <cell r="I430" t="str">
            <v>K</v>
          </cell>
          <cell r="J430">
            <v>0</v>
          </cell>
          <cell r="K430">
            <v>100</v>
          </cell>
          <cell r="L430">
            <v>100</v>
          </cell>
          <cell r="N430">
            <v>100</v>
          </cell>
          <cell r="P430">
            <v>0</v>
          </cell>
          <cell r="Q430" t="str">
            <v>Trat. 27/07 - PRIME</v>
          </cell>
          <cell r="T430">
            <v>8</v>
          </cell>
        </row>
        <row r="431">
          <cell r="A431">
            <v>982035151</v>
          </cell>
          <cell r="B431" t="str">
            <v>65.111.07390-9</v>
          </cell>
          <cell r="C431" t="str">
            <v xml:space="preserve">HASTE LIMITADOR PORTA 1/2" CF DCASH ROHS            REV-00  </v>
          </cell>
          <cell r="D431" t="str">
            <v/>
          </cell>
          <cell r="E431" t="str">
            <v>KION IND E COM LT</v>
          </cell>
          <cell r="F431">
            <v>401</v>
          </cell>
          <cell r="G431">
            <v>44039</v>
          </cell>
          <cell r="H431">
            <v>377859</v>
          </cell>
          <cell r="J431">
            <v>-7</v>
          </cell>
          <cell r="K431">
            <v>250</v>
          </cell>
          <cell r="L431">
            <v>250</v>
          </cell>
          <cell r="P431">
            <v>250</v>
          </cell>
          <cell r="Q431" t="str">
            <v>material em tratamento superficial - previsão de entrega até 06/08</v>
          </cell>
          <cell r="R431" t="str">
            <v>07/08 - A (160PÇS)</v>
          </cell>
          <cell r="S431" t="str">
            <v>Imediato</v>
          </cell>
          <cell r="T431">
            <v>3</v>
          </cell>
        </row>
        <row r="432">
          <cell r="A432">
            <v>982073071</v>
          </cell>
          <cell r="B432" t="str">
            <v>65.111.07390-9</v>
          </cell>
          <cell r="C432" t="str">
            <v xml:space="preserve">HASTE LIMITADOR PORTA 1/2" CF DCASH ROHS            REV-00  </v>
          </cell>
          <cell r="D432" t="str">
            <v/>
          </cell>
          <cell r="E432" t="str">
            <v>KION IND E COM LT</v>
          </cell>
          <cell r="F432">
            <v>401</v>
          </cell>
          <cell r="G432">
            <v>44060</v>
          </cell>
          <cell r="H432">
            <v>377859</v>
          </cell>
          <cell r="J432">
            <v>14</v>
          </cell>
          <cell r="K432">
            <v>90</v>
          </cell>
          <cell r="L432">
            <v>90</v>
          </cell>
          <cell r="P432">
            <v>90</v>
          </cell>
          <cell r="Q432" t="str">
            <v>OP 21/07 - FM</v>
          </cell>
          <cell r="S432">
            <v>44081</v>
          </cell>
          <cell r="T432">
            <v>9</v>
          </cell>
        </row>
        <row r="433">
          <cell r="A433">
            <v>982073081</v>
          </cell>
          <cell r="B433" t="str">
            <v>65.111.07392-3</v>
          </cell>
          <cell r="C433" t="str">
            <v>SUPT LIMITADOR PORTA 1/2" CF DCASH ROHS             REV-00</v>
          </cell>
          <cell r="D433" t="str">
            <v/>
          </cell>
          <cell r="E433" t="str">
            <v>KION IND E COM LT</v>
          </cell>
          <cell r="F433">
            <v>401</v>
          </cell>
          <cell r="G433">
            <v>44060</v>
          </cell>
          <cell r="H433">
            <v>377859</v>
          </cell>
          <cell r="J433">
            <v>14</v>
          </cell>
          <cell r="K433">
            <v>100</v>
          </cell>
          <cell r="L433">
            <v>100</v>
          </cell>
          <cell r="P433">
            <v>100</v>
          </cell>
          <cell r="Q433" t="str">
            <v>Trat. 28/07 - DIADEMA</v>
          </cell>
          <cell r="S433">
            <v>44081</v>
          </cell>
          <cell r="T433">
            <v>9</v>
          </cell>
        </row>
        <row r="434">
          <cell r="A434">
            <v>982080351</v>
          </cell>
          <cell r="B434" t="str">
            <v>65.111.07419-3</v>
          </cell>
          <cell r="C434" t="str">
            <v>CINTA FIX NO BREAK DCASH S/CDP ROHS                 REV-01</v>
          </cell>
          <cell r="D434" t="str">
            <v/>
          </cell>
          <cell r="E434" t="str">
            <v>KION IND E COM LT</v>
          </cell>
          <cell r="F434">
            <v>401</v>
          </cell>
          <cell r="G434">
            <v>44060</v>
          </cell>
          <cell r="H434">
            <v>377860</v>
          </cell>
          <cell r="J434">
            <v>14</v>
          </cell>
          <cell r="K434">
            <v>220</v>
          </cell>
          <cell r="L434">
            <v>220</v>
          </cell>
          <cell r="P434">
            <v>220</v>
          </cell>
          <cell r="Q434" t="str">
            <v>material em produção - previsão de entrega até 11/08</v>
          </cell>
          <cell r="R434" t="str">
            <v>10/08 - A</v>
          </cell>
          <cell r="S434">
            <v>44046</v>
          </cell>
          <cell r="T434">
            <v>4</v>
          </cell>
        </row>
        <row r="435">
          <cell r="A435">
            <v>982074111</v>
          </cell>
          <cell r="B435" t="str">
            <v>65.111.07499-5</v>
          </cell>
          <cell r="C435" t="str">
            <v>TRAVA CABO USB VOP ATMR6750                         REV-02</v>
          </cell>
          <cell r="D435" t="str">
            <v/>
          </cell>
          <cell r="E435" t="str">
            <v>KION IND E COM LT</v>
          </cell>
          <cell r="F435">
            <v>401</v>
          </cell>
          <cell r="G435">
            <v>44067</v>
          </cell>
          <cell r="H435">
            <v>377859</v>
          </cell>
          <cell r="J435">
            <v>21</v>
          </cell>
          <cell r="K435">
            <v>250</v>
          </cell>
          <cell r="L435">
            <v>250</v>
          </cell>
          <cell r="P435">
            <v>250</v>
          </cell>
          <cell r="Q435" t="str">
            <v>OP 03/08 - FM</v>
          </cell>
          <cell r="S435">
            <v>44067</v>
          </cell>
          <cell r="T435">
            <v>7</v>
          </cell>
        </row>
        <row r="436">
          <cell r="A436">
            <v>982074112</v>
          </cell>
          <cell r="B436" t="str">
            <v>65.111.07499-5</v>
          </cell>
          <cell r="C436" t="str">
            <v>TRAVA CABO USB VOP ATMR6750                         REV-02</v>
          </cell>
          <cell r="D436" t="str">
            <v/>
          </cell>
          <cell r="E436" t="str">
            <v>KION IND E COM LT</v>
          </cell>
          <cell r="F436">
            <v>401</v>
          </cell>
          <cell r="G436">
            <v>44095</v>
          </cell>
          <cell r="H436">
            <v>377859</v>
          </cell>
          <cell r="J436">
            <v>49</v>
          </cell>
          <cell r="K436">
            <v>200</v>
          </cell>
          <cell r="L436">
            <v>200</v>
          </cell>
          <cell r="P436">
            <v>200</v>
          </cell>
          <cell r="Q436" t="str">
            <v/>
          </cell>
          <cell r="S436">
            <v>44088</v>
          </cell>
          <cell r="T436">
            <v>10</v>
          </cell>
        </row>
        <row r="437">
          <cell r="A437">
            <v>982074113</v>
          </cell>
          <cell r="B437" t="str">
            <v>65.111.07499-5</v>
          </cell>
          <cell r="C437" t="str">
            <v>TRAVA CABO USB VOP ATMR6750                         REV-02</v>
          </cell>
          <cell r="D437" t="str">
            <v/>
          </cell>
          <cell r="E437" t="str">
            <v>KION IND E COM LT</v>
          </cell>
          <cell r="F437">
            <v>401</v>
          </cell>
          <cell r="G437">
            <v>44123</v>
          </cell>
          <cell r="H437">
            <v>377859</v>
          </cell>
          <cell r="J437">
            <v>77</v>
          </cell>
          <cell r="K437">
            <v>180</v>
          </cell>
          <cell r="L437">
            <v>180</v>
          </cell>
          <cell r="P437">
            <v>180</v>
          </cell>
          <cell r="Q437" t="str">
            <v/>
          </cell>
          <cell r="S437">
            <v>44109</v>
          </cell>
          <cell r="T437">
            <v>13</v>
          </cell>
        </row>
        <row r="438">
          <cell r="A438">
            <v>20363134</v>
          </cell>
          <cell r="B438" t="str">
            <v>65.111.07515-8</v>
          </cell>
          <cell r="C438" t="str">
            <v xml:space="preserve">LATERAL DIR PRESENTER PENTASIS ROHS                 REV-02  </v>
          </cell>
          <cell r="D438" t="str">
            <v/>
          </cell>
          <cell r="E438" t="str">
            <v>KION IND E COM LT</v>
          </cell>
          <cell r="F438">
            <v>401</v>
          </cell>
          <cell r="G438">
            <v>44039</v>
          </cell>
          <cell r="H438">
            <v>668725</v>
          </cell>
          <cell r="I438" t="str">
            <v>K</v>
          </cell>
          <cell r="J438">
            <v>-7</v>
          </cell>
          <cell r="K438">
            <v>35</v>
          </cell>
          <cell r="L438">
            <v>35</v>
          </cell>
          <cell r="P438">
            <v>35</v>
          </cell>
          <cell r="Q438" t="str">
            <v/>
          </cell>
          <cell r="S438">
            <v>44067</v>
          </cell>
          <cell r="T438">
            <v>7</v>
          </cell>
        </row>
        <row r="439">
          <cell r="A439">
            <v>20363233</v>
          </cell>
          <cell r="B439" t="str">
            <v>65.111.07516-5</v>
          </cell>
          <cell r="C439" t="str">
            <v xml:space="preserve">LATERAL ESQ PRESENTER PENTASIS ROHS                 REV-01  </v>
          </cell>
          <cell r="D439" t="str">
            <v/>
          </cell>
          <cell r="E439" t="str">
            <v>KION IND E COM LT</v>
          </cell>
          <cell r="F439">
            <v>401</v>
          </cell>
          <cell r="G439">
            <v>44039</v>
          </cell>
          <cell r="H439">
            <v>668725</v>
          </cell>
          <cell r="I439" t="str">
            <v>K</v>
          </cell>
          <cell r="J439">
            <v>-7</v>
          </cell>
          <cell r="K439">
            <v>40</v>
          </cell>
          <cell r="L439">
            <v>40</v>
          </cell>
          <cell r="P439">
            <v>40</v>
          </cell>
          <cell r="Q439" t="str">
            <v/>
          </cell>
          <cell r="S439">
            <v>44067</v>
          </cell>
          <cell r="T439">
            <v>7</v>
          </cell>
        </row>
        <row r="440">
          <cell r="A440">
            <v>982112151</v>
          </cell>
          <cell r="B440" t="str">
            <v>65.111.07599-8</v>
          </cell>
          <cell r="C440" t="str">
            <v xml:space="preserve">SUPORTE APOIO PRESENTER LAT ESQ ROHS                REV-00  </v>
          </cell>
          <cell r="D440" t="str">
            <v/>
          </cell>
          <cell r="E440" t="str">
            <v>KION IND E COM LT</v>
          </cell>
          <cell r="F440">
            <v>401</v>
          </cell>
          <cell r="G440">
            <v>44060</v>
          </cell>
          <cell r="H440">
            <v>378059</v>
          </cell>
          <cell r="J440">
            <v>14</v>
          </cell>
          <cell r="K440">
            <v>25</v>
          </cell>
          <cell r="L440">
            <v>25</v>
          </cell>
          <cell r="P440">
            <v>25</v>
          </cell>
          <cell r="Q440" t="str">
            <v/>
          </cell>
          <cell r="S440">
            <v>44067</v>
          </cell>
          <cell r="T440">
            <v>7</v>
          </cell>
        </row>
        <row r="441">
          <cell r="A441">
            <v>982112161</v>
          </cell>
          <cell r="B441" t="str">
            <v>65.111.07600-7</v>
          </cell>
          <cell r="C441" t="str">
            <v xml:space="preserve">SUPORTE APOIO PRESENTER LAT DIR ROHS                REV-00  </v>
          </cell>
          <cell r="D441" t="str">
            <v/>
          </cell>
          <cell r="E441" t="str">
            <v>KION IND E COM LT</v>
          </cell>
          <cell r="F441">
            <v>401</v>
          </cell>
          <cell r="G441">
            <v>44060</v>
          </cell>
          <cell r="H441">
            <v>378059</v>
          </cell>
          <cell r="J441">
            <v>14</v>
          </cell>
          <cell r="K441">
            <v>20</v>
          </cell>
          <cell r="L441">
            <v>20</v>
          </cell>
          <cell r="P441">
            <v>20</v>
          </cell>
          <cell r="Q441" t="str">
            <v/>
          </cell>
          <cell r="S441">
            <v>44067</v>
          </cell>
          <cell r="T441">
            <v>7</v>
          </cell>
        </row>
        <row r="442">
          <cell r="A442">
            <v>982112171</v>
          </cell>
          <cell r="B442" t="str">
            <v>65.111.07601-4</v>
          </cell>
          <cell r="C442" t="str">
            <v xml:space="preserve">PE DIREITO PRESENTER ROHS                           REV-00  </v>
          </cell>
          <cell r="D442" t="str">
            <v/>
          </cell>
          <cell r="E442" t="str">
            <v>KION IND E COM LT</v>
          </cell>
          <cell r="F442">
            <v>401</v>
          </cell>
          <cell r="G442">
            <v>44060</v>
          </cell>
          <cell r="H442">
            <v>378059</v>
          </cell>
          <cell r="J442">
            <v>14</v>
          </cell>
          <cell r="K442">
            <v>20</v>
          </cell>
          <cell r="L442">
            <v>20</v>
          </cell>
          <cell r="P442">
            <v>20</v>
          </cell>
          <cell r="Q442" t="str">
            <v/>
          </cell>
          <cell r="S442">
            <v>44067</v>
          </cell>
          <cell r="T442">
            <v>7</v>
          </cell>
        </row>
        <row r="443">
          <cell r="A443">
            <v>982112181</v>
          </cell>
          <cell r="B443" t="str">
            <v>65.111.07602-1</v>
          </cell>
          <cell r="C443" t="str">
            <v xml:space="preserve">PE ESQUERDO PRESENTER ROHS                          REV-00  </v>
          </cell>
          <cell r="D443" t="str">
            <v/>
          </cell>
          <cell r="E443" t="str">
            <v>KION IND E COM LT</v>
          </cell>
          <cell r="F443">
            <v>401</v>
          </cell>
          <cell r="G443">
            <v>44060</v>
          </cell>
          <cell r="H443">
            <v>378059</v>
          </cell>
          <cell r="J443">
            <v>14</v>
          </cell>
          <cell r="K443">
            <v>30</v>
          </cell>
          <cell r="L443">
            <v>30</v>
          </cell>
          <cell r="P443">
            <v>30</v>
          </cell>
          <cell r="Q443" t="str">
            <v/>
          </cell>
          <cell r="S443">
            <v>44067</v>
          </cell>
          <cell r="T443">
            <v>7</v>
          </cell>
        </row>
        <row r="444">
          <cell r="A444">
            <v>977332001</v>
          </cell>
          <cell r="B444" t="str">
            <v>65.111.07614-4</v>
          </cell>
          <cell r="C444" t="str">
            <v xml:space="preserve">BRAﾇO ARTIC TRV PNL ROHS                            REV-00  </v>
          </cell>
          <cell r="D444" t="str">
            <v/>
          </cell>
          <cell r="E444" t="str">
            <v>KION IND E COM LT</v>
          </cell>
          <cell r="F444">
            <v>401</v>
          </cell>
          <cell r="G444">
            <v>43983</v>
          </cell>
          <cell r="H444">
            <v>376545</v>
          </cell>
          <cell r="J444">
            <v>-63</v>
          </cell>
          <cell r="K444">
            <v>17</v>
          </cell>
          <cell r="L444">
            <v>17</v>
          </cell>
          <cell r="P444">
            <v>17</v>
          </cell>
          <cell r="Q444" t="str">
            <v>OP 12/05 - FM</v>
          </cell>
          <cell r="S444">
            <v>44081</v>
          </cell>
          <cell r="T444">
            <v>9</v>
          </cell>
        </row>
        <row r="445">
          <cell r="A445">
            <v>977248001</v>
          </cell>
          <cell r="B445" t="str">
            <v>65.111.07622-9</v>
          </cell>
          <cell r="C445" t="str">
            <v xml:space="preserve">LINGUETA FECHADURA ROHS                             REV-01  </v>
          </cell>
          <cell r="D445" t="str">
            <v/>
          </cell>
          <cell r="E445" t="str">
            <v>KION IND E COM LT</v>
          </cell>
          <cell r="F445">
            <v>401</v>
          </cell>
          <cell r="G445">
            <v>43983</v>
          </cell>
          <cell r="H445">
            <v>376545</v>
          </cell>
          <cell r="J445">
            <v>-63</v>
          </cell>
          <cell r="K445">
            <v>15</v>
          </cell>
          <cell r="L445">
            <v>15</v>
          </cell>
          <cell r="P445">
            <v>15</v>
          </cell>
          <cell r="Q445" t="str">
            <v>OP 12/05 - FM</v>
          </cell>
          <cell r="S445">
            <v>44081</v>
          </cell>
          <cell r="T445">
            <v>9</v>
          </cell>
        </row>
        <row r="446">
          <cell r="A446">
            <v>982087861</v>
          </cell>
          <cell r="B446" t="str">
            <v>65.111.07681-6</v>
          </cell>
          <cell r="C446" t="str">
            <v xml:space="preserve">SUP FIX I/O SHIELD ECS B85H3-M5 TLF 2016 ROHS       REV-00  </v>
          </cell>
          <cell r="D446" t="str">
            <v/>
          </cell>
          <cell r="E446" t="str">
            <v>KION IND E COM LT</v>
          </cell>
          <cell r="F446">
            <v>401</v>
          </cell>
          <cell r="G446">
            <v>44060</v>
          </cell>
          <cell r="H446">
            <v>377860</v>
          </cell>
          <cell r="J446">
            <v>14</v>
          </cell>
          <cell r="K446">
            <v>2500</v>
          </cell>
          <cell r="L446">
            <v>2500</v>
          </cell>
          <cell r="P446">
            <v>2500</v>
          </cell>
          <cell r="Q446" t="str">
            <v>material em tratamento superficial - previsão de entrega até 07/08</v>
          </cell>
          <cell r="R446" t="str">
            <v>06/08 - B</v>
          </cell>
          <cell r="S446">
            <v>44046</v>
          </cell>
          <cell r="T446">
            <v>4</v>
          </cell>
        </row>
        <row r="447">
          <cell r="A447">
            <v>940650001</v>
          </cell>
          <cell r="B447" t="str">
            <v>65.111.07725-3</v>
          </cell>
          <cell r="C447" t="str">
            <v>SUPT SENS MAGNT FINGER ATMR6750 TR SAQPAG BANPARA   REV-00</v>
          </cell>
          <cell r="D447" t="str">
            <v/>
          </cell>
          <cell r="E447" t="str">
            <v>KION IND E COM LT</v>
          </cell>
          <cell r="F447">
            <v>401</v>
          </cell>
          <cell r="G447">
            <v>43472</v>
          </cell>
          <cell r="H447">
            <v>369543</v>
          </cell>
          <cell r="J447">
            <v>-574</v>
          </cell>
          <cell r="K447">
            <v>50</v>
          </cell>
          <cell r="L447">
            <v>2</v>
          </cell>
          <cell r="P447">
            <v>2</v>
          </cell>
          <cell r="Q447">
            <v>0</v>
          </cell>
          <cell r="T447" t="str">
            <v>S Con</v>
          </cell>
        </row>
        <row r="448">
          <cell r="A448">
            <v>977404001</v>
          </cell>
          <cell r="B448" t="str">
            <v>65.111.07745-1</v>
          </cell>
          <cell r="C448" t="str">
            <v xml:space="preserve">SUP SENS ABT PT CF ATM4500 FR ROHS                  REV-00  </v>
          </cell>
          <cell r="D448" t="str">
            <v/>
          </cell>
          <cell r="E448" t="str">
            <v>KION IND E COM LT</v>
          </cell>
          <cell r="F448">
            <v>401</v>
          </cell>
          <cell r="G448">
            <v>43990</v>
          </cell>
          <cell r="H448">
            <v>376545</v>
          </cell>
          <cell r="J448">
            <v>-56</v>
          </cell>
          <cell r="K448">
            <v>15</v>
          </cell>
          <cell r="L448">
            <v>15</v>
          </cell>
          <cell r="P448">
            <v>15</v>
          </cell>
          <cell r="Q448" t="str">
            <v>OP 05/05 - FM</v>
          </cell>
          <cell r="S448">
            <v>44081</v>
          </cell>
          <cell r="T448">
            <v>9</v>
          </cell>
        </row>
        <row r="449">
          <cell r="A449">
            <v>982080231</v>
          </cell>
          <cell r="B449" t="str">
            <v>65.111.07759-8</v>
          </cell>
          <cell r="C449" t="str">
            <v xml:space="preserve">CHAPA SUPT ESQ TRILHO VAL JCM DCASH ROHS            REV-00  </v>
          </cell>
          <cell r="D449" t="str">
            <v/>
          </cell>
          <cell r="E449" t="str">
            <v>KION IND E COM LT</v>
          </cell>
          <cell r="F449">
            <v>401</v>
          </cell>
          <cell r="G449">
            <v>44060</v>
          </cell>
          <cell r="H449">
            <v>377860</v>
          </cell>
          <cell r="J449">
            <v>14</v>
          </cell>
          <cell r="K449">
            <v>90</v>
          </cell>
          <cell r="L449">
            <v>90</v>
          </cell>
          <cell r="P449">
            <v>90</v>
          </cell>
          <cell r="Q449" t="str">
            <v>OP 24/07 - FM</v>
          </cell>
          <cell r="S449">
            <v>44067</v>
          </cell>
          <cell r="T449">
            <v>7</v>
          </cell>
        </row>
        <row r="450">
          <cell r="A450">
            <v>982080241</v>
          </cell>
          <cell r="B450" t="str">
            <v>65.111.07760-4</v>
          </cell>
          <cell r="C450" t="str">
            <v xml:space="preserve">CHAPA SUPT DIR TRILHO VAL JCM DCASH ROHS            REV-00  </v>
          </cell>
          <cell r="D450" t="str">
            <v/>
          </cell>
          <cell r="E450" t="str">
            <v>KION IND E COM LT</v>
          </cell>
          <cell r="F450">
            <v>401</v>
          </cell>
          <cell r="G450">
            <v>44060</v>
          </cell>
          <cell r="H450">
            <v>377860</v>
          </cell>
          <cell r="J450">
            <v>14</v>
          </cell>
          <cell r="K450">
            <v>90</v>
          </cell>
          <cell r="L450">
            <v>90</v>
          </cell>
          <cell r="P450">
            <v>90</v>
          </cell>
          <cell r="Q450" t="str">
            <v>OP 24/07 - FM</v>
          </cell>
          <cell r="S450">
            <v>44067</v>
          </cell>
          <cell r="T450">
            <v>7</v>
          </cell>
        </row>
        <row r="451">
          <cell r="A451">
            <v>928475001</v>
          </cell>
          <cell r="B451" t="str">
            <v>65.111.07782-6</v>
          </cell>
          <cell r="C451" t="str">
            <v xml:space="preserve">TRAVA CONECTOR USB CABO CAMERA ENDOSC PRESENTER AFD REV-01  </v>
          </cell>
          <cell r="D451" t="str">
            <v/>
          </cell>
          <cell r="E451" t="str">
            <v>KION IND E COM LT</v>
          </cell>
          <cell r="F451">
            <v>401</v>
          </cell>
          <cell r="G451">
            <v>43262</v>
          </cell>
          <cell r="H451">
            <v>366765</v>
          </cell>
          <cell r="J451">
            <v>-784</v>
          </cell>
          <cell r="K451">
            <v>320</v>
          </cell>
          <cell r="L451">
            <v>320</v>
          </cell>
          <cell r="P451">
            <v>320</v>
          </cell>
          <cell r="Q451">
            <v>0</v>
          </cell>
          <cell r="S451" t="str">
            <v>DF</v>
          </cell>
          <cell r="T451" t="str">
            <v>DF</v>
          </cell>
        </row>
        <row r="452">
          <cell r="A452">
            <v>982080151</v>
          </cell>
          <cell r="B452" t="str">
            <v>65.111.07819-5</v>
          </cell>
          <cell r="C452" t="str">
            <v xml:space="preserve">SUPT HASTE TRAVA PORTA FR DCASH JCM ROHS            REV-00  </v>
          </cell>
          <cell r="D452" t="str">
            <v/>
          </cell>
          <cell r="E452" t="str">
            <v>KION IND E COM LT</v>
          </cell>
          <cell r="F452">
            <v>401</v>
          </cell>
          <cell r="G452">
            <v>44060</v>
          </cell>
          <cell r="H452">
            <v>377860</v>
          </cell>
          <cell r="J452">
            <v>14</v>
          </cell>
          <cell r="K452">
            <v>90</v>
          </cell>
          <cell r="L452">
            <v>90</v>
          </cell>
          <cell r="P452">
            <v>90</v>
          </cell>
          <cell r="Q452" t="str">
            <v>OP 24/07 - FM</v>
          </cell>
          <cell r="S452">
            <v>44067</v>
          </cell>
          <cell r="T452">
            <v>7</v>
          </cell>
        </row>
        <row r="453">
          <cell r="A453">
            <v>982080131</v>
          </cell>
          <cell r="B453" t="str">
            <v>65.111.07822-5</v>
          </cell>
          <cell r="C453" t="str">
            <v xml:space="preserve">SUPT MOVEL ARTICUL PORTA FR DCASH JCM ROHS          REV-00  </v>
          </cell>
          <cell r="D453" t="str">
            <v/>
          </cell>
          <cell r="E453" t="str">
            <v>KION IND E COM LT</v>
          </cell>
          <cell r="F453">
            <v>401</v>
          </cell>
          <cell r="G453">
            <v>44060</v>
          </cell>
          <cell r="H453">
            <v>377860</v>
          </cell>
          <cell r="J453">
            <v>14</v>
          </cell>
          <cell r="K453">
            <v>90</v>
          </cell>
          <cell r="L453">
            <v>90</v>
          </cell>
          <cell r="P453">
            <v>90</v>
          </cell>
          <cell r="Q453" t="str">
            <v>Trat. 07/08 - 89p - ZF</v>
          </cell>
          <cell r="S453">
            <v>44067</v>
          </cell>
          <cell r="T453">
            <v>7</v>
          </cell>
        </row>
        <row r="454">
          <cell r="A454">
            <v>982080171</v>
          </cell>
          <cell r="B454" t="str">
            <v>65.111.07823-2</v>
          </cell>
          <cell r="C454" t="str">
            <v xml:space="preserve">SUPT HASTE FECHADURA PNL SUP DCASH ROHS             REV-00  </v>
          </cell>
          <cell r="D454" t="str">
            <v/>
          </cell>
          <cell r="E454" t="str">
            <v>KION IND E COM LT</v>
          </cell>
          <cell r="F454">
            <v>401</v>
          </cell>
          <cell r="G454">
            <v>44060</v>
          </cell>
          <cell r="H454">
            <v>377860</v>
          </cell>
          <cell r="J454">
            <v>14</v>
          </cell>
          <cell r="K454">
            <v>90</v>
          </cell>
          <cell r="L454">
            <v>90</v>
          </cell>
          <cell r="P454">
            <v>90</v>
          </cell>
          <cell r="Q454" t="str">
            <v>OP 28/07 - FM</v>
          </cell>
          <cell r="S454">
            <v>44067</v>
          </cell>
          <cell r="T454">
            <v>7</v>
          </cell>
        </row>
        <row r="455">
          <cell r="A455">
            <v>173592001</v>
          </cell>
          <cell r="B455" t="str">
            <v>65.111.07892-8</v>
          </cell>
          <cell r="C455" t="str">
            <v xml:space="preserve">CHAPA FIX CJ FRASCO DISSUASAO ECRM ROHS             REV-00  </v>
          </cell>
          <cell r="D455" t="str">
            <v/>
          </cell>
          <cell r="E455" t="str">
            <v>KION IND E COM LT</v>
          </cell>
          <cell r="F455">
            <v>401</v>
          </cell>
          <cell r="G455">
            <v>42863</v>
          </cell>
          <cell r="H455">
            <v>362394</v>
          </cell>
          <cell r="J455">
            <v>-1183</v>
          </cell>
          <cell r="K455">
            <v>10</v>
          </cell>
          <cell r="L455">
            <v>10</v>
          </cell>
          <cell r="P455">
            <v>10</v>
          </cell>
          <cell r="Q455">
            <v>0</v>
          </cell>
          <cell r="T455" t="str">
            <v>S Con</v>
          </cell>
        </row>
        <row r="456">
          <cell r="A456">
            <v>928476001</v>
          </cell>
          <cell r="B456" t="str">
            <v>65.111.07948-8</v>
          </cell>
          <cell r="C456" t="str">
            <v xml:space="preserve">SUPORTE ESTEIRA AFD SPLIT SUP P/ESTEIRA FB.40.15.38 REV-00  </v>
          </cell>
          <cell r="D456" t="str">
            <v/>
          </cell>
          <cell r="E456" t="str">
            <v>KION IND E COM LT</v>
          </cell>
          <cell r="F456">
            <v>401</v>
          </cell>
          <cell r="G456">
            <v>43262</v>
          </cell>
          <cell r="H456">
            <v>366765</v>
          </cell>
          <cell r="J456">
            <v>-784</v>
          </cell>
          <cell r="K456">
            <v>320</v>
          </cell>
          <cell r="L456">
            <v>320</v>
          </cell>
          <cell r="P456">
            <v>320</v>
          </cell>
          <cell r="Q456">
            <v>0</v>
          </cell>
          <cell r="S456" t="str">
            <v>DF</v>
          </cell>
          <cell r="T456" t="str">
            <v>DF</v>
          </cell>
        </row>
        <row r="457">
          <cell r="A457">
            <v>982087941</v>
          </cell>
          <cell r="B457" t="str">
            <v>65.111.07972-3</v>
          </cell>
          <cell r="C457" t="str">
            <v xml:space="preserve">SUP SSD SATA GAB PC LOW PROFILE                     REV-01  </v>
          </cell>
          <cell r="D457" t="str">
            <v/>
          </cell>
          <cell r="E457" t="str">
            <v>KION IND E COM LT</v>
          </cell>
          <cell r="F457">
            <v>401</v>
          </cell>
          <cell r="G457">
            <v>44109</v>
          </cell>
          <cell r="H457">
            <v>377860</v>
          </cell>
          <cell r="J457">
            <v>63</v>
          </cell>
          <cell r="K457">
            <v>90</v>
          </cell>
          <cell r="L457">
            <v>90</v>
          </cell>
          <cell r="P457">
            <v>90</v>
          </cell>
          <cell r="Q457" t="str">
            <v/>
          </cell>
          <cell r="S457" t="str">
            <v>DF</v>
          </cell>
          <cell r="T457" t="str">
            <v>DF</v>
          </cell>
        </row>
        <row r="458">
          <cell r="A458">
            <v>982074301</v>
          </cell>
          <cell r="B458" t="str">
            <v>65.111.07972-3</v>
          </cell>
          <cell r="C458" t="str">
            <v xml:space="preserve">SUP SSD SATA GAB PC LOW PROFILE                     REV-01  </v>
          </cell>
          <cell r="D458" t="str">
            <v/>
          </cell>
          <cell r="E458" t="str">
            <v>KION IND E COM LT</v>
          </cell>
          <cell r="F458">
            <v>401</v>
          </cell>
          <cell r="G458">
            <v>44116</v>
          </cell>
          <cell r="H458">
            <v>377859</v>
          </cell>
          <cell r="J458">
            <v>70</v>
          </cell>
          <cell r="K458">
            <v>10</v>
          </cell>
          <cell r="L458">
            <v>10</v>
          </cell>
          <cell r="P458">
            <v>10</v>
          </cell>
          <cell r="Q458" t="str">
            <v/>
          </cell>
          <cell r="S458" t="str">
            <v>DF</v>
          </cell>
          <cell r="T458" t="str">
            <v>DF</v>
          </cell>
        </row>
        <row r="459">
          <cell r="A459">
            <v>982073991</v>
          </cell>
          <cell r="B459" t="str">
            <v>65.111.07993-8</v>
          </cell>
          <cell r="C459" t="str">
            <v xml:space="preserve">TAMPA PROT CAR CSE ECRM DCASH ROHS                  REV-01  </v>
          </cell>
          <cell r="D459" t="str">
            <v/>
          </cell>
          <cell r="E459" t="str">
            <v>KION IND E COM LT</v>
          </cell>
          <cell r="F459">
            <v>401</v>
          </cell>
          <cell r="G459">
            <v>44046</v>
          </cell>
          <cell r="H459">
            <v>377859</v>
          </cell>
          <cell r="J459">
            <v>0</v>
          </cell>
          <cell r="K459">
            <v>150</v>
          </cell>
          <cell r="L459">
            <v>150</v>
          </cell>
          <cell r="P459">
            <v>150</v>
          </cell>
          <cell r="Q459" t="str">
            <v>material em produção - previsão de entrega até 07/08</v>
          </cell>
          <cell r="R459" t="str">
            <v>07/08 - A</v>
          </cell>
          <cell r="S459">
            <v>44046</v>
          </cell>
          <cell r="T459">
            <v>4</v>
          </cell>
        </row>
        <row r="460">
          <cell r="A460">
            <v>982073992</v>
          </cell>
          <cell r="B460" t="str">
            <v>65.111.07993-8</v>
          </cell>
          <cell r="C460" t="str">
            <v xml:space="preserve">TAMPA PROT CAR CSE ECRM DCASH ROHS                  REV-01  </v>
          </cell>
          <cell r="D460" t="str">
            <v/>
          </cell>
          <cell r="E460" t="str">
            <v>KION IND E COM LT</v>
          </cell>
          <cell r="F460">
            <v>401</v>
          </cell>
          <cell r="G460">
            <v>44060</v>
          </cell>
          <cell r="H460">
            <v>377859</v>
          </cell>
          <cell r="J460">
            <v>14</v>
          </cell>
          <cell r="K460">
            <v>110</v>
          </cell>
          <cell r="L460">
            <v>110</v>
          </cell>
          <cell r="P460">
            <v>110</v>
          </cell>
          <cell r="Q460" t="str">
            <v>OP 22/07 - FM</v>
          </cell>
          <cell r="R460" t="str">
            <v>10/08 - A</v>
          </cell>
          <cell r="S460">
            <v>44067</v>
          </cell>
          <cell r="T460">
            <v>7</v>
          </cell>
        </row>
        <row r="461">
          <cell r="A461">
            <v>982073993</v>
          </cell>
          <cell r="B461" t="str">
            <v>65.111.07993-8</v>
          </cell>
          <cell r="C461" t="str">
            <v xml:space="preserve">TAMPA PROT CAR CSE ECRM DCASH ROHS                  REV-01  </v>
          </cell>
          <cell r="D461" t="str">
            <v/>
          </cell>
          <cell r="E461" t="str">
            <v>KION IND E COM LT</v>
          </cell>
          <cell r="F461">
            <v>401</v>
          </cell>
          <cell r="G461">
            <v>44067</v>
          </cell>
          <cell r="H461">
            <v>377859</v>
          </cell>
          <cell r="J461">
            <v>21</v>
          </cell>
          <cell r="K461">
            <v>100</v>
          </cell>
          <cell r="L461">
            <v>100</v>
          </cell>
          <cell r="P461">
            <v>100</v>
          </cell>
          <cell r="Q461" t="str">
            <v>OP 22/07 - FM</v>
          </cell>
          <cell r="S461">
            <v>44081</v>
          </cell>
          <cell r="T461">
            <v>9</v>
          </cell>
        </row>
        <row r="462">
          <cell r="A462">
            <v>982074001</v>
          </cell>
          <cell r="B462" t="str">
            <v>65.111.07995-2</v>
          </cell>
          <cell r="C462" t="str">
            <v xml:space="preserve">SUPT PORCA FIX BICO ENTINT MALOT CED DCASH ROHS     REV-00  </v>
          </cell>
          <cell r="D462" t="str">
            <v/>
          </cell>
          <cell r="E462" t="str">
            <v>KION IND E COM LT</v>
          </cell>
          <cell r="F462">
            <v>401</v>
          </cell>
          <cell r="G462">
            <v>44046</v>
          </cell>
          <cell r="H462">
            <v>377859</v>
          </cell>
          <cell r="J462">
            <v>0</v>
          </cell>
          <cell r="K462">
            <v>310</v>
          </cell>
          <cell r="L462">
            <v>310</v>
          </cell>
          <cell r="P462">
            <v>310</v>
          </cell>
          <cell r="Q462" t="str">
            <v>Trat. 07/08 - 316p - DIADEMA</v>
          </cell>
          <cell r="S462">
            <v>44046</v>
          </cell>
          <cell r="T462">
            <v>4</v>
          </cell>
        </row>
        <row r="463">
          <cell r="A463">
            <v>982074002</v>
          </cell>
          <cell r="B463" t="str">
            <v>65.111.07995-2</v>
          </cell>
          <cell r="C463" t="str">
            <v xml:space="preserve">SUPT PORCA FIX BICO ENTINT MALOT CED DCASH ROHS     REV-00  </v>
          </cell>
          <cell r="D463" t="str">
            <v/>
          </cell>
          <cell r="E463" t="str">
            <v>KION IND E COM LT</v>
          </cell>
          <cell r="F463">
            <v>401</v>
          </cell>
          <cell r="G463">
            <v>44060</v>
          </cell>
          <cell r="H463">
            <v>377859</v>
          </cell>
          <cell r="J463">
            <v>14</v>
          </cell>
          <cell r="K463">
            <v>200</v>
          </cell>
          <cell r="L463">
            <v>200</v>
          </cell>
          <cell r="P463">
            <v>200</v>
          </cell>
          <cell r="Q463" t="str">
            <v>OP 22/07 - FM</v>
          </cell>
          <cell r="S463">
            <v>44067</v>
          </cell>
          <cell r="T463">
            <v>7</v>
          </cell>
        </row>
        <row r="464">
          <cell r="A464">
            <v>982074003</v>
          </cell>
          <cell r="B464" t="str">
            <v>65.111.07995-2</v>
          </cell>
          <cell r="C464" t="str">
            <v xml:space="preserve">SUPT PORCA FIX BICO ENTINT MALOT CED DCASH ROHS     REV-00  </v>
          </cell>
          <cell r="D464" t="str">
            <v/>
          </cell>
          <cell r="E464" t="str">
            <v>KION IND E COM LT</v>
          </cell>
          <cell r="F464">
            <v>401</v>
          </cell>
          <cell r="G464">
            <v>44067</v>
          </cell>
          <cell r="H464">
            <v>377859</v>
          </cell>
          <cell r="J464">
            <v>21</v>
          </cell>
          <cell r="K464">
            <v>200</v>
          </cell>
          <cell r="L464">
            <v>200</v>
          </cell>
          <cell r="P464">
            <v>200</v>
          </cell>
          <cell r="Q464" t="str">
            <v>OP 22/07 - FM</v>
          </cell>
          <cell r="S464">
            <v>44081</v>
          </cell>
          <cell r="T464">
            <v>9</v>
          </cell>
        </row>
        <row r="465">
          <cell r="A465">
            <v>982074342</v>
          </cell>
          <cell r="B465" t="str">
            <v>65.111.08009-3</v>
          </cell>
          <cell r="C465" t="str">
            <v xml:space="preserve">SUPT CONEC ARRANC DIP ASKM GLOBAL ENHANCED          REV-00  </v>
          </cell>
          <cell r="D465" t="str">
            <v/>
          </cell>
          <cell r="E465" t="str">
            <v>KION IND E COM LT</v>
          </cell>
          <cell r="F465">
            <v>401</v>
          </cell>
          <cell r="G465">
            <v>44095</v>
          </cell>
          <cell r="H465">
            <v>377859</v>
          </cell>
          <cell r="J465">
            <v>49</v>
          </cell>
          <cell r="K465">
            <v>200</v>
          </cell>
          <cell r="L465">
            <v>200</v>
          </cell>
          <cell r="P465">
            <v>200</v>
          </cell>
          <cell r="Q465" t="str">
            <v>OP 22/07 - FM</v>
          </cell>
          <cell r="S465">
            <v>44074</v>
          </cell>
          <cell r="T465">
            <v>8</v>
          </cell>
        </row>
        <row r="466">
          <cell r="A466">
            <v>982074343</v>
          </cell>
          <cell r="B466" t="str">
            <v>65.111.08009-3</v>
          </cell>
          <cell r="C466" t="str">
            <v xml:space="preserve">SUPT CONEC ARRANC DIP ASKM GLOBAL ENHANCED          REV-00  </v>
          </cell>
          <cell r="D466" t="str">
            <v/>
          </cell>
          <cell r="E466" t="str">
            <v>KION IND E COM LT</v>
          </cell>
          <cell r="F466">
            <v>401</v>
          </cell>
          <cell r="G466">
            <v>44123</v>
          </cell>
          <cell r="H466">
            <v>377859</v>
          </cell>
          <cell r="J466">
            <v>77</v>
          </cell>
          <cell r="K466">
            <v>200</v>
          </cell>
          <cell r="L466">
            <v>200</v>
          </cell>
          <cell r="P466">
            <v>200</v>
          </cell>
          <cell r="Q466" t="str">
            <v/>
          </cell>
          <cell r="S466">
            <v>44088</v>
          </cell>
          <cell r="T466">
            <v>10</v>
          </cell>
        </row>
        <row r="467">
          <cell r="A467">
            <v>982088341</v>
          </cell>
          <cell r="B467" t="str">
            <v>65.111.08009-3</v>
          </cell>
          <cell r="C467" t="str">
            <v xml:space="preserve">SUPT CONEC ARRANC DIP ASKM GLOBAL ENHANCED          REV-00  </v>
          </cell>
          <cell r="D467" t="str">
            <v/>
          </cell>
          <cell r="E467" t="str">
            <v>KION IND E COM LT</v>
          </cell>
          <cell r="F467">
            <v>401</v>
          </cell>
          <cell r="G467">
            <v>44123</v>
          </cell>
          <cell r="H467">
            <v>377860</v>
          </cell>
          <cell r="J467">
            <v>77</v>
          </cell>
          <cell r="K467">
            <v>100</v>
          </cell>
          <cell r="L467">
            <v>100</v>
          </cell>
          <cell r="P467">
            <v>100</v>
          </cell>
          <cell r="Q467">
            <v>0</v>
          </cell>
          <cell r="S467">
            <v>44109</v>
          </cell>
          <cell r="T467">
            <v>13</v>
          </cell>
        </row>
        <row r="468">
          <cell r="A468">
            <v>982074341</v>
          </cell>
          <cell r="B468" t="str">
            <v>65.111.08009-3</v>
          </cell>
          <cell r="C468" t="str">
            <v xml:space="preserve">SUPT CONEC ARRANC DIP ASKM GLOBAL ENHANCED          REV-00  </v>
          </cell>
          <cell r="D468" t="str">
            <v/>
          </cell>
          <cell r="E468" t="str">
            <v>KION IND E COM LT</v>
          </cell>
          <cell r="F468">
            <v>401</v>
          </cell>
          <cell r="G468">
            <v>44067</v>
          </cell>
          <cell r="H468">
            <v>377859</v>
          </cell>
          <cell r="J468">
            <v>21</v>
          </cell>
          <cell r="K468">
            <v>260</v>
          </cell>
          <cell r="L468">
            <v>260</v>
          </cell>
          <cell r="P468">
            <v>260</v>
          </cell>
          <cell r="Q468" t="str">
            <v>material em tratamento superficial - previsão de entrega até 07/08</v>
          </cell>
          <cell r="R468" t="str">
            <v>07/08 - A</v>
          </cell>
          <cell r="S468">
            <v>44053</v>
          </cell>
          <cell r="T468">
            <v>5</v>
          </cell>
        </row>
        <row r="469">
          <cell r="A469">
            <v>982074352</v>
          </cell>
          <cell r="B469" t="str">
            <v>65.111.08010-9</v>
          </cell>
          <cell r="C469" t="str">
            <v xml:space="preserve">SUPT BUCHA ARRANC DIP ASKM GLOBAL ENHANCED          REV-00  </v>
          </cell>
          <cell r="D469" t="str">
            <v/>
          </cell>
          <cell r="E469" t="str">
            <v>KION IND E COM LT</v>
          </cell>
          <cell r="F469">
            <v>401</v>
          </cell>
          <cell r="G469">
            <v>44095</v>
          </cell>
          <cell r="H469">
            <v>377859</v>
          </cell>
          <cell r="J469">
            <v>49</v>
          </cell>
          <cell r="K469">
            <v>200</v>
          </cell>
          <cell r="L469">
            <v>200</v>
          </cell>
          <cell r="P469">
            <v>200</v>
          </cell>
          <cell r="Q469" t="str">
            <v>Trat. 03/08 - DIADEMA</v>
          </cell>
          <cell r="S469">
            <v>44074</v>
          </cell>
          <cell r="T469">
            <v>8</v>
          </cell>
        </row>
        <row r="470">
          <cell r="A470">
            <v>982074353</v>
          </cell>
          <cell r="B470" t="str">
            <v>65.111.08010-9</v>
          </cell>
          <cell r="C470" t="str">
            <v xml:space="preserve">SUPT BUCHA ARRANC DIP ASKM GLOBAL ENHANCED          REV-00  </v>
          </cell>
          <cell r="D470" t="str">
            <v/>
          </cell>
          <cell r="E470" t="str">
            <v>KION IND E COM LT</v>
          </cell>
          <cell r="F470">
            <v>401</v>
          </cell>
          <cell r="G470">
            <v>44123</v>
          </cell>
          <cell r="H470">
            <v>377859</v>
          </cell>
          <cell r="J470">
            <v>77</v>
          </cell>
          <cell r="K470">
            <v>200</v>
          </cell>
          <cell r="L470">
            <v>200</v>
          </cell>
          <cell r="P470">
            <v>200</v>
          </cell>
          <cell r="Q470" t="str">
            <v/>
          </cell>
          <cell r="S470">
            <v>44088</v>
          </cell>
          <cell r="T470">
            <v>10</v>
          </cell>
        </row>
        <row r="471">
          <cell r="A471">
            <v>982088351</v>
          </cell>
          <cell r="B471" t="str">
            <v>65.111.08010-9</v>
          </cell>
          <cell r="C471" t="str">
            <v xml:space="preserve">SUPT BUCHA ARRANC DIP ASKM GLOBAL ENHANCED          REV-00  </v>
          </cell>
          <cell r="D471" t="str">
            <v/>
          </cell>
          <cell r="E471" t="str">
            <v>KION IND E COM LT</v>
          </cell>
          <cell r="F471">
            <v>401</v>
          </cell>
          <cell r="G471">
            <v>44123</v>
          </cell>
          <cell r="H471">
            <v>377860</v>
          </cell>
          <cell r="J471">
            <v>77</v>
          </cell>
          <cell r="K471">
            <v>100</v>
          </cell>
          <cell r="L471">
            <v>100</v>
          </cell>
          <cell r="P471">
            <v>100</v>
          </cell>
          <cell r="Q471" t="str">
            <v/>
          </cell>
          <cell r="S471">
            <v>44109</v>
          </cell>
          <cell r="T471">
            <v>13</v>
          </cell>
        </row>
        <row r="472">
          <cell r="A472">
            <v>982074351</v>
          </cell>
          <cell r="B472" t="str">
            <v>65.111.08010-9</v>
          </cell>
          <cell r="C472" t="str">
            <v xml:space="preserve">SUPT BUCHA ARRANC DIP ASKM GLOBAL ENHANCED          REV-00  </v>
          </cell>
          <cell r="D472" t="str">
            <v/>
          </cell>
          <cell r="E472" t="str">
            <v>KION IND E COM LT</v>
          </cell>
          <cell r="F472">
            <v>401</v>
          </cell>
          <cell r="G472">
            <v>44067</v>
          </cell>
          <cell r="H472">
            <v>377859</v>
          </cell>
          <cell r="J472">
            <v>21</v>
          </cell>
          <cell r="K472">
            <v>260</v>
          </cell>
          <cell r="L472">
            <v>260</v>
          </cell>
          <cell r="P472">
            <v>260</v>
          </cell>
          <cell r="Q472" t="str">
            <v>material em tratamento superficial - previsão de entrega até 07/08</v>
          </cell>
          <cell r="S472">
            <v>44053</v>
          </cell>
          <cell r="T472">
            <v>5</v>
          </cell>
        </row>
        <row r="473">
          <cell r="A473">
            <v>982074361</v>
          </cell>
          <cell r="B473" t="str">
            <v>65.111.08011-6</v>
          </cell>
          <cell r="C473" t="str">
            <v xml:space="preserve">MOLDURA ARRANC DIP ASKM GLOBAL ENHANCED             REV-01  </v>
          </cell>
          <cell r="D473" t="str">
            <v/>
          </cell>
          <cell r="E473" t="str">
            <v>KION IND E COM LT</v>
          </cell>
          <cell r="F473">
            <v>401</v>
          </cell>
          <cell r="G473">
            <v>44067</v>
          </cell>
          <cell r="H473">
            <v>377859</v>
          </cell>
          <cell r="J473">
            <v>21</v>
          </cell>
          <cell r="K473">
            <v>200</v>
          </cell>
          <cell r="L473">
            <v>200</v>
          </cell>
          <cell r="P473">
            <v>200</v>
          </cell>
          <cell r="Q473" t="str">
            <v>OP 03/08 - FM</v>
          </cell>
          <cell r="S473">
            <v>44067</v>
          </cell>
          <cell r="T473">
            <v>7</v>
          </cell>
        </row>
        <row r="474">
          <cell r="A474">
            <v>982074362</v>
          </cell>
          <cell r="B474" t="str">
            <v>65.111.08011-6</v>
          </cell>
          <cell r="C474" t="str">
            <v xml:space="preserve">MOLDURA ARRANC DIP ASKM GLOBAL ENHANCED             REV-01  </v>
          </cell>
          <cell r="D474" t="str">
            <v/>
          </cell>
          <cell r="E474" t="str">
            <v>KION IND E COM LT</v>
          </cell>
          <cell r="F474">
            <v>401</v>
          </cell>
          <cell r="G474">
            <v>44095</v>
          </cell>
          <cell r="H474">
            <v>377859</v>
          </cell>
          <cell r="J474">
            <v>49</v>
          </cell>
          <cell r="K474">
            <v>200</v>
          </cell>
          <cell r="L474">
            <v>200</v>
          </cell>
          <cell r="P474">
            <v>200</v>
          </cell>
          <cell r="Q474" t="str">
            <v>OP 03/08 - FM</v>
          </cell>
          <cell r="S474">
            <v>44074</v>
          </cell>
          <cell r="T474">
            <v>8</v>
          </cell>
        </row>
        <row r="475">
          <cell r="A475">
            <v>982074363</v>
          </cell>
          <cell r="B475" t="str">
            <v>65.111.08011-6</v>
          </cell>
          <cell r="C475" t="str">
            <v xml:space="preserve">MOLDURA ARRANC DIP ASKM GLOBAL ENHANCED             REV-01  </v>
          </cell>
          <cell r="D475" t="str">
            <v/>
          </cell>
          <cell r="E475" t="str">
            <v>KION IND E COM LT</v>
          </cell>
          <cell r="F475">
            <v>401</v>
          </cell>
          <cell r="G475">
            <v>44123</v>
          </cell>
          <cell r="H475">
            <v>377859</v>
          </cell>
          <cell r="J475">
            <v>77</v>
          </cell>
          <cell r="K475">
            <v>200</v>
          </cell>
          <cell r="L475">
            <v>200</v>
          </cell>
          <cell r="P475">
            <v>200</v>
          </cell>
          <cell r="Q475" t="str">
            <v/>
          </cell>
          <cell r="S475">
            <v>44088</v>
          </cell>
          <cell r="T475">
            <v>10</v>
          </cell>
        </row>
        <row r="476">
          <cell r="A476">
            <v>982088361</v>
          </cell>
          <cell r="B476" t="str">
            <v>65.111.08011-6</v>
          </cell>
          <cell r="C476" t="str">
            <v xml:space="preserve">MOLDURA ARRANC DIP ASKM GLOBAL ENHANCED             REV-01  </v>
          </cell>
          <cell r="D476" t="str">
            <v/>
          </cell>
          <cell r="E476" t="str">
            <v>KION IND E COM LT</v>
          </cell>
          <cell r="F476">
            <v>401</v>
          </cell>
          <cell r="G476">
            <v>44123</v>
          </cell>
          <cell r="H476">
            <v>377860</v>
          </cell>
          <cell r="J476">
            <v>77</v>
          </cell>
          <cell r="K476">
            <v>100</v>
          </cell>
          <cell r="L476">
            <v>100</v>
          </cell>
          <cell r="P476">
            <v>100</v>
          </cell>
          <cell r="Q476" t="str">
            <v/>
          </cell>
          <cell r="S476">
            <v>44109</v>
          </cell>
          <cell r="T476">
            <v>13</v>
          </cell>
        </row>
        <row r="477">
          <cell r="A477">
            <v>978719002</v>
          </cell>
          <cell r="B477" t="str">
            <v>65.111.08921-2</v>
          </cell>
          <cell r="C477" t="str">
            <v xml:space="preserve">SUP FIX ANTENA WIFI EXT ROHS                        REV-00  </v>
          </cell>
          <cell r="D477" t="str">
            <v/>
          </cell>
          <cell r="E477" t="str">
            <v>KION IND E COM LT</v>
          </cell>
          <cell r="F477">
            <v>401</v>
          </cell>
          <cell r="G477">
            <v>44046</v>
          </cell>
          <cell r="H477">
            <v>376920</v>
          </cell>
          <cell r="J477">
            <v>0</v>
          </cell>
          <cell r="K477">
            <v>300</v>
          </cell>
          <cell r="L477">
            <v>300</v>
          </cell>
          <cell r="O477">
            <v>300</v>
          </cell>
          <cell r="P477">
            <v>0</v>
          </cell>
          <cell r="Q477" t="str">
            <v>Trat. 15/07 - 298p - DIADEMA</v>
          </cell>
          <cell r="T477">
            <v>8</v>
          </cell>
        </row>
        <row r="478">
          <cell r="A478">
            <v>982074632</v>
          </cell>
          <cell r="B478" t="str">
            <v>65.111.08073-4</v>
          </cell>
          <cell r="C478" t="str">
            <v xml:space="preserve">SUPT FIX CAR USB ISOLATOR ROHS                      REV-00  </v>
          </cell>
          <cell r="D478" t="str">
            <v/>
          </cell>
          <cell r="E478" t="str">
            <v>KION IND E COM LT</v>
          </cell>
          <cell r="F478">
            <v>401</v>
          </cell>
          <cell r="G478">
            <v>44060</v>
          </cell>
          <cell r="H478">
            <v>377859</v>
          </cell>
          <cell r="J478">
            <v>14</v>
          </cell>
          <cell r="K478">
            <v>100</v>
          </cell>
          <cell r="L478">
            <v>100</v>
          </cell>
          <cell r="P478">
            <v>100</v>
          </cell>
          <cell r="Q478" t="str">
            <v>Trat. 28/07 - DIADEMA</v>
          </cell>
          <cell r="R478" t="str">
            <v>10/08 - A</v>
          </cell>
          <cell r="S478">
            <v>44067</v>
          </cell>
          <cell r="T478">
            <v>7</v>
          </cell>
        </row>
        <row r="479">
          <cell r="A479">
            <v>978886002</v>
          </cell>
          <cell r="B479" t="str">
            <v>65.111.08922-9</v>
          </cell>
          <cell r="C479" t="str">
            <v xml:space="preserve">GUIA EIXO 2 SEGURANCA PORTA GAB ROHS                REV-00  </v>
          </cell>
          <cell r="D479" t="str">
            <v/>
          </cell>
          <cell r="E479" t="str">
            <v>KION IND E COM LT</v>
          </cell>
          <cell r="F479">
            <v>401</v>
          </cell>
          <cell r="G479">
            <v>44046</v>
          </cell>
          <cell r="H479">
            <v>377203</v>
          </cell>
          <cell r="J479">
            <v>0</v>
          </cell>
          <cell r="K479">
            <v>300</v>
          </cell>
          <cell r="L479">
            <v>300</v>
          </cell>
          <cell r="N479">
            <v>300</v>
          </cell>
          <cell r="P479">
            <v>0</v>
          </cell>
          <cell r="Q479" t="str">
            <v>Trat. 15/07 - 306p - DIADEMA</v>
          </cell>
          <cell r="T479">
            <v>8</v>
          </cell>
        </row>
        <row r="480">
          <cell r="A480">
            <v>982074633</v>
          </cell>
          <cell r="B480" t="str">
            <v>65.111.08073-4</v>
          </cell>
          <cell r="C480" t="str">
            <v xml:space="preserve">SUPT FIX CAR USB ISOLATOR ROHS                      REV-00  </v>
          </cell>
          <cell r="D480" t="str">
            <v/>
          </cell>
          <cell r="E480" t="str">
            <v>KION IND E COM LT</v>
          </cell>
          <cell r="F480">
            <v>401</v>
          </cell>
          <cell r="G480">
            <v>44067</v>
          </cell>
          <cell r="H480">
            <v>377859</v>
          </cell>
          <cell r="J480">
            <v>21</v>
          </cell>
          <cell r="K480">
            <v>100</v>
          </cell>
          <cell r="L480">
            <v>100</v>
          </cell>
          <cell r="P480">
            <v>100</v>
          </cell>
          <cell r="Q480" t="str">
            <v>Trat. 28/07 - DIADEMA</v>
          </cell>
          <cell r="S480">
            <v>44081</v>
          </cell>
          <cell r="T480">
            <v>9</v>
          </cell>
        </row>
        <row r="481">
          <cell r="A481">
            <v>982074641</v>
          </cell>
          <cell r="B481" t="str">
            <v>65.111.08074-1</v>
          </cell>
          <cell r="C481" t="str">
            <v xml:space="preserve">SUPT FIX CONECTOR USB B FEMEA ROHS                  REV-00  </v>
          </cell>
          <cell r="D481" t="str">
            <v/>
          </cell>
          <cell r="E481" t="str">
            <v>KION IND E COM LT</v>
          </cell>
          <cell r="F481">
            <v>401</v>
          </cell>
          <cell r="G481">
            <v>44046</v>
          </cell>
          <cell r="H481">
            <v>377859</v>
          </cell>
          <cell r="J481">
            <v>0</v>
          </cell>
          <cell r="K481">
            <v>160</v>
          </cell>
          <cell r="L481">
            <v>160</v>
          </cell>
          <cell r="P481">
            <v>160</v>
          </cell>
          <cell r="Q481" t="str">
            <v>solicitando coleta em 04/08</v>
          </cell>
          <cell r="S481">
            <v>44046</v>
          </cell>
          <cell r="T481">
            <v>4</v>
          </cell>
        </row>
        <row r="482">
          <cell r="A482">
            <v>982074642</v>
          </cell>
          <cell r="B482" t="str">
            <v>65.111.08074-1</v>
          </cell>
          <cell r="C482" t="str">
            <v xml:space="preserve">SUPT FIX CONECTOR USB B FEMEA ROHS                  REV-00  </v>
          </cell>
          <cell r="D482" t="str">
            <v/>
          </cell>
          <cell r="E482" t="str">
            <v>KION IND E COM LT</v>
          </cell>
          <cell r="F482">
            <v>401</v>
          </cell>
          <cell r="G482">
            <v>44060</v>
          </cell>
          <cell r="H482">
            <v>377859</v>
          </cell>
          <cell r="J482">
            <v>14</v>
          </cell>
          <cell r="K482">
            <v>100</v>
          </cell>
          <cell r="L482">
            <v>100</v>
          </cell>
          <cell r="P482">
            <v>100</v>
          </cell>
          <cell r="Q482" t="str">
            <v>Trat. 30/07 -  ZF</v>
          </cell>
          <cell r="R482" t="str">
            <v>10/08 - A</v>
          </cell>
          <cell r="S482">
            <v>44067</v>
          </cell>
          <cell r="T482">
            <v>7</v>
          </cell>
        </row>
        <row r="483">
          <cell r="A483">
            <v>982074643</v>
          </cell>
          <cell r="B483" t="str">
            <v>65.111.08074-1</v>
          </cell>
          <cell r="C483" t="str">
            <v xml:space="preserve">SUPT FIX CONECTOR USB B FEMEA ROHS                  REV-00  </v>
          </cell>
          <cell r="D483" t="str">
            <v/>
          </cell>
          <cell r="E483" t="str">
            <v>KION IND E COM LT</v>
          </cell>
          <cell r="F483">
            <v>401</v>
          </cell>
          <cell r="G483">
            <v>44067</v>
          </cell>
          <cell r="H483">
            <v>377859</v>
          </cell>
          <cell r="J483">
            <v>21</v>
          </cell>
          <cell r="K483">
            <v>100</v>
          </cell>
          <cell r="L483">
            <v>100</v>
          </cell>
          <cell r="P483">
            <v>100</v>
          </cell>
          <cell r="Q483" t="str">
            <v>Trat. 30/07 -  ZF</v>
          </cell>
          <cell r="S483">
            <v>44081</v>
          </cell>
          <cell r="T483">
            <v>9</v>
          </cell>
        </row>
        <row r="484">
          <cell r="A484">
            <v>978882002</v>
          </cell>
          <cell r="B484" t="str">
            <v>65.111.08951-9</v>
          </cell>
          <cell r="C484" t="str">
            <v xml:space="preserve">APOIO MASCARA MET PNL ROHS                          REV-00  </v>
          </cell>
          <cell r="D484" t="str">
            <v/>
          </cell>
          <cell r="E484" t="str">
            <v>KION IND E COM LT</v>
          </cell>
          <cell r="F484">
            <v>401</v>
          </cell>
          <cell r="G484">
            <v>44046</v>
          </cell>
          <cell r="H484">
            <v>376920</v>
          </cell>
          <cell r="J484">
            <v>0</v>
          </cell>
          <cell r="K484">
            <v>300</v>
          </cell>
          <cell r="L484">
            <v>300</v>
          </cell>
          <cell r="N484">
            <v>300</v>
          </cell>
          <cell r="P484">
            <v>0</v>
          </cell>
          <cell r="Q484" t="str">
            <v>OP 14/07 - FM</v>
          </cell>
          <cell r="T484">
            <v>8</v>
          </cell>
        </row>
        <row r="485">
          <cell r="A485">
            <v>999930384</v>
          </cell>
          <cell r="B485" t="str">
            <v>65.111.08104-1</v>
          </cell>
          <cell r="C485" t="str">
            <v xml:space="preserve">ESPELHO REDE/SINDAL ROHS                            REV-02  </v>
          </cell>
          <cell r="D485" t="str">
            <v/>
          </cell>
          <cell r="E485" t="str">
            <v>KION IND E COM LT</v>
          </cell>
          <cell r="F485">
            <v>401</v>
          </cell>
          <cell r="G485">
            <v>44025</v>
          </cell>
          <cell r="H485">
            <v>668725</v>
          </cell>
          <cell r="I485" t="str">
            <v>K</v>
          </cell>
          <cell r="J485">
            <v>-21</v>
          </cell>
          <cell r="K485">
            <v>100</v>
          </cell>
          <cell r="L485">
            <v>100</v>
          </cell>
          <cell r="P485">
            <v>100</v>
          </cell>
          <cell r="Q485" t="str">
            <v>Trat. 07/08 - DIADEMA</v>
          </cell>
          <cell r="S485">
            <v>44067</v>
          </cell>
          <cell r="T485">
            <v>7</v>
          </cell>
        </row>
        <row r="486">
          <cell r="A486">
            <v>999930385</v>
          </cell>
          <cell r="B486" t="str">
            <v>65.111.08104-1</v>
          </cell>
          <cell r="C486" t="str">
            <v xml:space="preserve">ESPELHO REDE/SINDAL ROHS                            REV-02  </v>
          </cell>
          <cell r="D486" t="str">
            <v/>
          </cell>
          <cell r="E486" t="str">
            <v>KION IND E COM LT</v>
          </cell>
          <cell r="F486">
            <v>401</v>
          </cell>
          <cell r="G486">
            <v>44025</v>
          </cell>
          <cell r="H486">
            <v>668725</v>
          </cell>
          <cell r="I486" t="str">
            <v>K</v>
          </cell>
          <cell r="J486">
            <v>-21</v>
          </cell>
          <cell r="K486">
            <v>100</v>
          </cell>
          <cell r="L486">
            <v>100</v>
          </cell>
          <cell r="P486">
            <v>100</v>
          </cell>
          <cell r="Q486" t="str">
            <v>Trat. 07/08 - DIADEMA</v>
          </cell>
          <cell r="S486">
            <v>44074</v>
          </cell>
          <cell r="T486">
            <v>8</v>
          </cell>
        </row>
        <row r="487">
          <cell r="A487">
            <v>999930386</v>
          </cell>
          <cell r="B487" t="str">
            <v>65.111.08104-1</v>
          </cell>
          <cell r="C487" t="str">
            <v xml:space="preserve">ESPELHO REDE/SINDAL ROHS                            REV-02  </v>
          </cell>
          <cell r="D487" t="str">
            <v/>
          </cell>
          <cell r="E487" t="str">
            <v>KION IND E COM LT</v>
          </cell>
          <cell r="F487">
            <v>401</v>
          </cell>
          <cell r="G487">
            <v>44025</v>
          </cell>
          <cell r="H487">
            <v>668725</v>
          </cell>
          <cell r="I487" t="str">
            <v>K</v>
          </cell>
          <cell r="J487">
            <v>-21</v>
          </cell>
          <cell r="K487">
            <v>100</v>
          </cell>
          <cell r="L487">
            <v>100</v>
          </cell>
          <cell r="P487">
            <v>100</v>
          </cell>
          <cell r="Q487" t="str">
            <v>LASER 30/07 - FM</v>
          </cell>
          <cell r="S487">
            <v>44074</v>
          </cell>
          <cell r="T487">
            <v>8</v>
          </cell>
        </row>
        <row r="488">
          <cell r="A488">
            <v>999930383</v>
          </cell>
          <cell r="B488" t="str">
            <v>65.111.08104-1</v>
          </cell>
          <cell r="C488" t="str">
            <v xml:space="preserve">ESPELHO REDE/SINDAL ROHS                            REV-02  </v>
          </cell>
          <cell r="D488" t="str">
            <v/>
          </cell>
          <cell r="E488" t="str">
            <v>KION IND E COM LT</v>
          </cell>
          <cell r="F488">
            <v>401</v>
          </cell>
          <cell r="G488">
            <v>44025</v>
          </cell>
          <cell r="H488">
            <v>668725</v>
          </cell>
          <cell r="I488" t="str">
            <v>K</v>
          </cell>
          <cell r="J488">
            <v>-21</v>
          </cell>
          <cell r="K488">
            <v>100</v>
          </cell>
          <cell r="L488">
            <v>100</v>
          </cell>
          <cell r="P488">
            <v>100</v>
          </cell>
          <cell r="Q488" t="str">
            <v>Trat. 07/08 - 360p - DIADEMA</v>
          </cell>
          <cell r="S488">
            <v>44053</v>
          </cell>
          <cell r="T488">
            <v>5</v>
          </cell>
        </row>
        <row r="489">
          <cell r="A489">
            <v>999930491</v>
          </cell>
          <cell r="B489" t="str">
            <v>65.111.08200-6</v>
          </cell>
          <cell r="C489" t="str">
            <v xml:space="preserve">REFORCO PROT TRINCO ROHS                            REV-00  </v>
          </cell>
          <cell r="D489" t="str">
            <v/>
          </cell>
          <cell r="E489" t="str">
            <v>KION IND E COM LT</v>
          </cell>
          <cell r="F489">
            <v>401</v>
          </cell>
          <cell r="G489">
            <v>44025</v>
          </cell>
          <cell r="H489">
            <v>668725</v>
          </cell>
          <cell r="I489" t="str">
            <v>K</v>
          </cell>
          <cell r="J489">
            <v>-21</v>
          </cell>
          <cell r="K489">
            <v>100</v>
          </cell>
          <cell r="L489">
            <v>100</v>
          </cell>
          <cell r="P489">
            <v>100</v>
          </cell>
          <cell r="Q489" t="str">
            <v>LASER 30/07 - FM</v>
          </cell>
          <cell r="R489" t="str">
            <v>10/08 - A</v>
          </cell>
          <cell r="S489">
            <v>44067</v>
          </cell>
          <cell r="T489">
            <v>7</v>
          </cell>
        </row>
        <row r="490">
          <cell r="A490">
            <v>999930492</v>
          </cell>
          <cell r="B490" t="str">
            <v>65.111.08200-6</v>
          </cell>
          <cell r="C490" t="str">
            <v xml:space="preserve">REFORCO PROT TRINCO ROHS                            REV-00  </v>
          </cell>
          <cell r="D490" t="str">
            <v/>
          </cell>
          <cell r="E490" t="str">
            <v>KION IND E COM LT</v>
          </cell>
          <cell r="F490">
            <v>401</v>
          </cell>
          <cell r="G490">
            <v>44025</v>
          </cell>
          <cell r="H490">
            <v>668725</v>
          </cell>
          <cell r="I490" t="str">
            <v>K</v>
          </cell>
          <cell r="J490">
            <v>-21</v>
          </cell>
          <cell r="K490">
            <v>100</v>
          </cell>
          <cell r="L490">
            <v>100</v>
          </cell>
          <cell r="P490">
            <v>100</v>
          </cell>
          <cell r="Q490" t="str">
            <v>LASER 30/07 - FM</v>
          </cell>
          <cell r="R490" t="str">
            <v>10/08 - A</v>
          </cell>
          <cell r="S490">
            <v>44067</v>
          </cell>
          <cell r="T490">
            <v>7</v>
          </cell>
        </row>
        <row r="491">
          <cell r="A491">
            <v>202607305</v>
          </cell>
          <cell r="B491" t="str">
            <v>65.113.00567-8</v>
          </cell>
          <cell r="C491" t="str">
            <v xml:space="preserve">SUPT FIX TRAS LCD 15"/TOUCH ROHS                    REV-03  </v>
          </cell>
          <cell r="D491" t="str">
            <v>29-008851-000A</v>
          </cell>
          <cell r="E491" t="str">
            <v>KION IND E COM LT</v>
          </cell>
          <cell r="F491">
            <v>401</v>
          </cell>
          <cell r="G491">
            <v>43990</v>
          </cell>
          <cell r="H491">
            <v>668725</v>
          </cell>
          <cell r="I491" t="str">
            <v>K</v>
          </cell>
          <cell r="J491">
            <v>0</v>
          </cell>
          <cell r="K491">
            <v>100</v>
          </cell>
          <cell r="L491">
            <v>100</v>
          </cell>
          <cell r="O491">
            <v>100</v>
          </cell>
          <cell r="P491">
            <v>0</v>
          </cell>
          <cell r="Q491" t="str">
            <v>Trat. 08/07 - 545p - GDL</v>
          </cell>
          <cell r="T491">
            <v>8</v>
          </cell>
        </row>
        <row r="492">
          <cell r="A492">
            <v>202607306</v>
          </cell>
          <cell r="B492" t="str">
            <v>65.113.00567-8</v>
          </cell>
          <cell r="C492" t="str">
            <v xml:space="preserve">SUPT FIX TRAS LCD 15"/TOUCH ROHS                    REV-03  </v>
          </cell>
          <cell r="D492" t="str">
            <v>29-008851-000A</v>
          </cell>
          <cell r="E492" t="str">
            <v>KION IND E COM LT</v>
          </cell>
          <cell r="F492">
            <v>401</v>
          </cell>
          <cell r="G492">
            <v>43990</v>
          </cell>
          <cell r="H492">
            <v>668725</v>
          </cell>
          <cell r="I492" t="str">
            <v>K</v>
          </cell>
          <cell r="J492">
            <v>0</v>
          </cell>
          <cell r="K492">
            <v>100</v>
          </cell>
          <cell r="L492">
            <v>100</v>
          </cell>
          <cell r="O492">
            <v>100</v>
          </cell>
          <cell r="P492">
            <v>0</v>
          </cell>
          <cell r="Q492" t="str">
            <v>Trat. 08/07 - GDL</v>
          </cell>
          <cell r="T492">
            <v>8</v>
          </cell>
        </row>
        <row r="493">
          <cell r="A493">
            <v>202607307</v>
          </cell>
          <cell r="B493" t="str">
            <v>65.113.00567-8</v>
          </cell>
          <cell r="C493" t="str">
            <v xml:space="preserve">SUPT FIX TRAS LCD 15"/TOUCH ROHS                    REV-03  </v>
          </cell>
          <cell r="D493" t="str">
            <v>29-008851-000A</v>
          </cell>
          <cell r="E493" t="str">
            <v>KION IND E COM LT</v>
          </cell>
          <cell r="F493">
            <v>401</v>
          </cell>
          <cell r="G493">
            <v>43990</v>
          </cell>
          <cell r="H493">
            <v>668725</v>
          </cell>
          <cell r="I493" t="str">
            <v>K</v>
          </cell>
          <cell r="J493">
            <v>0</v>
          </cell>
          <cell r="K493">
            <v>100</v>
          </cell>
          <cell r="L493">
            <v>100</v>
          </cell>
          <cell r="O493">
            <v>100</v>
          </cell>
          <cell r="P493">
            <v>0</v>
          </cell>
          <cell r="Q493" t="str">
            <v>Trat. 08/07 - GDL</v>
          </cell>
          <cell r="T493">
            <v>8</v>
          </cell>
        </row>
        <row r="494">
          <cell r="A494">
            <v>202607308</v>
          </cell>
          <cell r="B494" t="str">
            <v>65.113.00567-8</v>
          </cell>
          <cell r="C494" t="str">
            <v xml:space="preserve">SUPT FIX TRAS LCD 15"/TOUCH ROHS                    REV-03  </v>
          </cell>
          <cell r="D494" t="str">
            <v>29-008851-000A</v>
          </cell>
          <cell r="E494" t="str">
            <v>KION IND E COM LT</v>
          </cell>
          <cell r="F494">
            <v>401</v>
          </cell>
          <cell r="G494">
            <v>43990</v>
          </cell>
          <cell r="H494">
            <v>668725</v>
          </cell>
          <cell r="I494" t="str">
            <v>K</v>
          </cell>
          <cell r="J494">
            <v>0</v>
          </cell>
          <cell r="K494">
            <v>100</v>
          </cell>
          <cell r="L494">
            <v>100</v>
          </cell>
          <cell r="O494">
            <v>100</v>
          </cell>
          <cell r="P494">
            <v>0</v>
          </cell>
          <cell r="Q494" t="str">
            <v>Trat. 08/07 - GDL</v>
          </cell>
          <cell r="T494">
            <v>8</v>
          </cell>
        </row>
        <row r="495">
          <cell r="A495">
            <v>202607309</v>
          </cell>
          <cell r="B495" t="str">
            <v>65.113.00567-8</v>
          </cell>
          <cell r="C495" t="str">
            <v xml:space="preserve">SUPT FIX TRAS LCD 15"/TOUCH ROHS                    REV-03  </v>
          </cell>
          <cell r="D495" t="str">
            <v>29-008851-000A</v>
          </cell>
          <cell r="E495" t="str">
            <v>KION IND E COM LT</v>
          </cell>
          <cell r="F495">
            <v>401</v>
          </cell>
          <cell r="G495">
            <v>43990</v>
          </cell>
          <cell r="H495">
            <v>668725</v>
          </cell>
          <cell r="I495" t="str">
            <v>K</v>
          </cell>
          <cell r="J495">
            <v>0</v>
          </cell>
          <cell r="K495">
            <v>100</v>
          </cell>
          <cell r="L495">
            <v>100</v>
          </cell>
          <cell r="O495">
            <v>100</v>
          </cell>
          <cell r="P495">
            <v>0</v>
          </cell>
          <cell r="Q495" t="str">
            <v>Trat. 08/07 - GDL</v>
          </cell>
          <cell r="T495">
            <v>8</v>
          </cell>
        </row>
        <row r="496">
          <cell r="A496">
            <v>202607310</v>
          </cell>
          <cell r="B496" t="str">
            <v>65.113.00567-8</v>
          </cell>
          <cell r="C496" t="str">
            <v xml:space="preserve">SUPT FIX TRAS LCD 15"/TOUCH ROHS                    REV-03  </v>
          </cell>
          <cell r="D496" t="str">
            <v>29-008851-000A</v>
          </cell>
          <cell r="E496" t="str">
            <v>KION IND E COM LT</v>
          </cell>
          <cell r="F496">
            <v>401</v>
          </cell>
          <cell r="G496">
            <v>43990</v>
          </cell>
          <cell r="H496">
            <v>668725</v>
          </cell>
          <cell r="I496" t="str">
            <v>K</v>
          </cell>
          <cell r="J496">
            <v>0</v>
          </cell>
          <cell r="K496">
            <v>100</v>
          </cell>
          <cell r="L496">
            <v>100</v>
          </cell>
          <cell r="O496">
            <v>100</v>
          </cell>
          <cell r="P496">
            <v>0</v>
          </cell>
          <cell r="Q496" t="str">
            <v>Trat. 08/07 - 400p - GDL</v>
          </cell>
          <cell r="T496">
            <v>8</v>
          </cell>
        </row>
        <row r="497">
          <cell r="A497">
            <v>202607311</v>
          </cell>
          <cell r="B497" t="str">
            <v>65.113.00567-8</v>
          </cell>
          <cell r="C497" t="str">
            <v xml:space="preserve">SUPT FIX TRAS LCD 15"/TOUCH ROHS                    REV-03  </v>
          </cell>
          <cell r="D497" t="str">
            <v>29-008851-000A</v>
          </cell>
          <cell r="E497" t="str">
            <v>KION IND E COM LT</v>
          </cell>
          <cell r="F497">
            <v>401</v>
          </cell>
          <cell r="G497">
            <v>43990</v>
          </cell>
          <cell r="H497">
            <v>668725</v>
          </cell>
          <cell r="I497" t="str">
            <v>K</v>
          </cell>
          <cell r="J497">
            <v>0</v>
          </cell>
          <cell r="K497">
            <v>100</v>
          </cell>
          <cell r="L497">
            <v>100</v>
          </cell>
          <cell r="O497">
            <v>100</v>
          </cell>
          <cell r="P497">
            <v>0</v>
          </cell>
          <cell r="Q497" t="str">
            <v>Trat. 08/07  - GDL</v>
          </cell>
          <cell r="T497">
            <v>8</v>
          </cell>
        </row>
        <row r="498">
          <cell r="A498">
            <v>202607312</v>
          </cell>
          <cell r="B498" t="str">
            <v>65.113.00567-8</v>
          </cell>
          <cell r="C498" t="str">
            <v xml:space="preserve">SUPT FIX TRAS LCD 15"/TOUCH ROHS                    REV-03  </v>
          </cell>
          <cell r="D498" t="str">
            <v>29-008851-000A</v>
          </cell>
          <cell r="E498" t="str">
            <v>KION IND E COM LT</v>
          </cell>
          <cell r="F498">
            <v>401</v>
          </cell>
          <cell r="G498">
            <v>43997</v>
          </cell>
          <cell r="H498">
            <v>668725</v>
          </cell>
          <cell r="I498" t="str">
            <v>K</v>
          </cell>
          <cell r="J498">
            <v>0</v>
          </cell>
          <cell r="K498">
            <v>100</v>
          </cell>
          <cell r="L498">
            <v>100</v>
          </cell>
          <cell r="O498">
            <v>100</v>
          </cell>
          <cell r="P498">
            <v>0</v>
          </cell>
          <cell r="Q498" t="str">
            <v>Trat. 08/07  - GDL</v>
          </cell>
          <cell r="T498">
            <v>8</v>
          </cell>
        </row>
        <row r="499">
          <cell r="A499">
            <v>202607313</v>
          </cell>
          <cell r="B499" t="str">
            <v>65.113.00567-8</v>
          </cell>
          <cell r="C499" t="str">
            <v xml:space="preserve">SUPT FIX TRAS LCD 15"/TOUCH ROHS                    REV-03  </v>
          </cell>
          <cell r="D499" t="str">
            <v>29-008851-000A</v>
          </cell>
          <cell r="E499" t="str">
            <v>KION IND E COM LT</v>
          </cell>
          <cell r="F499">
            <v>401</v>
          </cell>
          <cell r="G499">
            <v>43997</v>
          </cell>
          <cell r="H499">
            <v>668725</v>
          </cell>
          <cell r="I499" t="str">
            <v>K</v>
          </cell>
          <cell r="J499">
            <v>0</v>
          </cell>
          <cell r="K499">
            <v>100</v>
          </cell>
          <cell r="L499">
            <v>100</v>
          </cell>
          <cell r="O499">
            <v>100</v>
          </cell>
          <cell r="P499">
            <v>0</v>
          </cell>
          <cell r="Q499" t="str">
            <v>Trat. 08/07  - GDL(+46)</v>
          </cell>
          <cell r="T499">
            <v>8</v>
          </cell>
        </row>
        <row r="500">
          <cell r="A500">
            <v>999930493</v>
          </cell>
          <cell r="B500" t="str">
            <v>65.111.08200-6</v>
          </cell>
          <cell r="C500" t="str">
            <v xml:space="preserve">REFORCO PROT TRINCO ROHS                            REV-00  </v>
          </cell>
          <cell r="D500" t="str">
            <v/>
          </cell>
          <cell r="E500" t="str">
            <v>KION IND E COM LT</v>
          </cell>
          <cell r="F500">
            <v>401</v>
          </cell>
          <cell r="G500">
            <v>44025</v>
          </cell>
          <cell r="H500">
            <v>668725</v>
          </cell>
          <cell r="I500" t="str">
            <v>K</v>
          </cell>
          <cell r="J500">
            <v>-21</v>
          </cell>
          <cell r="K500">
            <v>100</v>
          </cell>
          <cell r="L500">
            <v>100</v>
          </cell>
          <cell r="P500">
            <v>100</v>
          </cell>
          <cell r="Q500" t="str">
            <v>LASER 30/07 - FM</v>
          </cell>
          <cell r="S500">
            <v>44074</v>
          </cell>
          <cell r="T500">
            <v>8</v>
          </cell>
        </row>
        <row r="501">
          <cell r="A501">
            <v>999930494</v>
          </cell>
          <cell r="B501" t="str">
            <v>65.111.08200-6</v>
          </cell>
          <cell r="C501" t="str">
            <v xml:space="preserve">REFORCO PROT TRINCO ROHS                            REV-00  </v>
          </cell>
          <cell r="D501" t="str">
            <v/>
          </cell>
          <cell r="E501" t="str">
            <v>KION IND E COM LT</v>
          </cell>
          <cell r="F501">
            <v>401</v>
          </cell>
          <cell r="G501">
            <v>44025</v>
          </cell>
          <cell r="H501">
            <v>668725</v>
          </cell>
          <cell r="I501" t="str">
            <v>K</v>
          </cell>
          <cell r="J501">
            <v>-21</v>
          </cell>
          <cell r="K501">
            <v>100</v>
          </cell>
          <cell r="L501">
            <v>100</v>
          </cell>
          <cell r="P501">
            <v>100</v>
          </cell>
          <cell r="Q501" t="str">
            <v>LASER 30/07 - FM</v>
          </cell>
          <cell r="S501">
            <v>44074</v>
          </cell>
          <cell r="T501">
            <v>8</v>
          </cell>
        </row>
        <row r="502">
          <cell r="A502">
            <v>999930495</v>
          </cell>
          <cell r="B502" t="str">
            <v>65.111.08200-6</v>
          </cell>
          <cell r="C502" t="str">
            <v xml:space="preserve">REFORCO PROT TRINCO ROHS                            REV-00  </v>
          </cell>
          <cell r="D502" t="str">
            <v/>
          </cell>
          <cell r="E502" t="str">
            <v>KION IND E COM LT</v>
          </cell>
          <cell r="F502">
            <v>401</v>
          </cell>
          <cell r="G502">
            <v>44025</v>
          </cell>
          <cell r="H502">
            <v>668725</v>
          </cell>
          <cell r="I502" t="str">
            <v>K</v>
          </cell>
          <cell r="J502">
            <v>-21</v>
          </cell>
          <cell r="K502">
            <v>100</v>
          </cell>
          <cell r="L502">
            <v>100</v>
          </cell>
          <cell r="P502">
            <v>100</v>
          </cell>
          <cell r="Q502" t="str">
            <v>LASER 30/07 - FM</v>
          </cell>
          <cell r="S502">
            <v>44074</v>
          </cell>
          <cell r="T502">
            <v>8</v>
          </cell>
        </row>
        <row r="503">
          <cell r="A503">
            <v>999930496</v>
          </cell>
          <cell r="B503" t="str">
            <v>65.111.08200-6</v>
          </cell>
          <cell r="C503" t="str">
            <v xml:space="preserve">REFORCO PROT TRINCO ROHS                            REV-00  </v>
          </cell>
          <cell r="D503" t="str">
            <v/>
          </cell>
          <cell r="E503" t="str">
            <v>KION IND E COM LT</v>
          </cell>
          <cell r="F503">
            <v>401</v>
          </cell>
          <cell r="G503">
            <v>44025</v>
          </cell>
          <cell r="H503">
            <v>668725</v>
          </cell>
          <cell r="I503" t="str">
            <v>K</v>
          </cell>
          <cell r="J503">
            <v>-21</v>
          </cell>
          <cell r="K503">
            <v>100</v>
          </cell>
          <cell r="L503">
            <v>100</v>
          </cell>
          <cell r="P503">
            <v>100</v>
          </cell>
          <cell r="Q503" t="str">
            <v>LASER 30/07 - FM</v>
          </cell>
          <cell r="S503">
            <v>44081</v>
          </cell>
          <cell r="T503">
            <v>9</v>
          </cell>
        </row>
        <row r="504">
          <cell r="A504">
            <v>999930497</v>
          </cell>
          <cell r="B504" t="str">
            <v>65.111.08200-6</v>
          </cell>
          <cell r="C504" t="str">
            <v xml:space="preserve">REFORCO PROT TRINCO ROHS                            REV-00  </v>
          </cell>
          <cell r="D504" t="str">
            <v/>
          </cell>
          <cell r="E504" t="str">
            <v>KION IND E COM LT</v>
          </cell>
          <cell r="F504">
            <v>401</v>
          </cell>
          <cell r="G504">
            <v>44025</v>
          </cell>
          <cell r="H504">
            <v>668725</v>
          </cell>
          <cell r="I504" t="str">
            <v>K</v>
          </cell>
          <cell r="J504">
            <v>-21</v>
          </cell>
          <cell r="K504">
            <v>100</v>
          </cell>
          <cell r="L504">
            <v>100</v>
          </cell>
          <cell r="P504">
            <v>100</v>
          </cell>
          <cell r="Q504" t="str">
            <v>LASER 30/07 - FM</v>
          </cell>
          <cell r="S504">
            <v>44081</v>
          </cell>
          <cell r="T504">
            <v>9</v>
          </cell>
        </row>
        <row r="505">
          <cell r="A505">
            <v>982080391</v>
          </cell>
          <cell r="B505" t="str">
            <v>65.111.08228-0</v>
          </cell>
          <cell r="C505" t="str">
            <v xml:space="preserve">CAIXA DE TOMADAS DCASH SP ROHS                      REV-01  </v>
          </cell>
          <cell r="D505" t="str">
            <v>29-008851-000A E 29-009101-000A</v>
          </cell>
          <cell r="E505" t="str">
            <v>KION IND E COM LT</v>
          </cell>
          <cell r="F505">
            <v>401</v>
          </cell>
          <cell r="G505">
            <v>44060</v>
          </cell>
          <cell r="H505">
            <v>377860</v>
          </cell>
          <cell r="J505">
            <v>14</v>
          </cell>
          <cell r="K505">
            <v>90</v>
          </cell>
          <cell r="L505">
            <v>90</v>
          </cell>
          <cell r="P505">
            <v>90</v>
          </cell>
          <cell r="Q505" t="str">
            <v>OP 28/07 - FM</v>
          </cell>
          <cell r="S505">
            <v>44067</v>
          </cell>
          <cell r="T505">
            <v>7</v>
          </cell>
        </row>
        <row r="506">
          <cell r="A506">
            <v>949265001</v>
          </cell>
          <cell r="B506" t="str">
            <v>65.111.08248-8</v>
          </cell>
          <cell r="C506" t="str">
            <v xml:space="preserve">CINTA FIX ADAPTER FSP096-AHBN2 PC ROHS              REV-Z0  </v>
          </cell>
          <cell r="D506" t="str">
            <v/>
          </cell>
          <cell r="E506" t="str">
            <v>KION IND E COM LT</v>
          </cell>
          <cell r="F506">
            <v>401</v>
          </cell>
          <cell r="G506">
            <v>43542</v>
          </cell>
          <cell r="H506">
            <v>371414</v>
          </cell>
          <cell r="J506">
            <v>-504</v>
          </cell>
          <cell r="K506">
            <v>12</v>
          </cell>
          <cell r="L506">
            <v>12</v>
          </cell>
          <cell r="P506">
            <v>12</v>
          </cell>
          <cell r="Q506">
            <v>0</v>
          </cell>
          <cell r="T506" t="str">
            <v>S Con</v>
          </cell>
        </row>
        <row r="507">
          <cell r="A507">
            <v>9999305174</v>
          </cell>
          <cell r="B507" t="str">
            <v>65.111.08252-5</v>
          </cell>
          <cell r="C507" t="str">
            <v xml:space="preserve">SUPORTE TRAVA RM4                                   REV-01  </v>
          </cell>
          <cell r="D507" t="str">
            <v/>
          </cell>
          <cell r="E507" t="str">
            <v>KION IND E COM LT</v>
          </cell>
          <cell r="F507">
            <v>401</v>
          </cell>
          <cell r="G507">
            <v>44025</v>
          </cell>
          <cell r="H507">
            <v>668725</v>
          </cell>
          <cell r="I507" t="str">
            <v>K</v>
          </cell>
          <cell r="J507">
            <v>-21</v>
          </cell>
          <cell r="K507">
            <v>100</v>
          </cell>
          <cell r="L507">
            <v>100</v>
          </cell>
          <cell r="P507">
            <v>100</v>
          </cell>
          <cell r="Q507" t="str">
            <v>Trat. 28/07 - DIADEMA</v>
          </cell>
          <cell r="R507" t="str">
            <v>10/08 - A</v>
          </cell>
          <cell r="S507">
            <v>44067</v>
          </cell>
          <cell r="T507">
            <v>7</v>
          </cell>
        </row>
        <row r="508">
          <cell r="A508">
            <v>9999305175</v>
          </cell>
          <cell r="B508" t="str">
            <v>65.111.08252-5</v>
          </cell>
          <cell r="C508" t="str">
            <v xml:space="preserve">SUPORTE TRAVA RM4                                   REV-01  </v>
          </cell>
          <cell r="D508" t="str">
            <v/>
          </cell>
          <cell r="E508" t="str">
            <v>KION IND E COM LT</v>
          </cell>
          <cell r="F508">
            <v>401</v>
          </cell>
          <cell r="G508">
            <v>44025</v>
          </cell>
          <cell r="H508">
            <v>668725</v>
          </cell>
          <cell r="I508" t="str">
            <v>K</v>
          </cell>
          <cell r="J508">
            <v>-21</v>
          </cell>
          <cell r="K508">
            <v>100</v>
          </cell>
          <cell r="L508">
            <v>100</v>
          </cell>
          <cell r="P508">
            <v>100</v>
          </cell>
          <cell r="Q508" t="str">
            <v>Trat. 28/07 - DIADEMA</v>
          </cell>
          <cell r="R508" t="str">
            <v>10/08 - A</v>
          </cell>
          <cell r="S508">
            <v>44067</v>
          </cell>
          <cell r="T508">
            <v>7</v>
          </cell>
        </row>
        <row r="509">
          <cell r="A509">
            <v>202614115</v>
          </cell>
          <cell r="B509" t="str">
            <v>65.116.01110-0</v>
          </cell>
          <cell r="C509" t="str">
            <v xml:space="preserve">CHAPA INF FIX TEC EPP1217 ROHS                      REV-01  </v>
          </cell>
          <cell r="D509" t="str">
            <v/>
          </cell>
          <cell r="E509" t="str">
            <v>KION IND E COM LT</v>
          </cell>
          <cell r="F509">
            <v>401</v>
          </cell>
          <cell r="G509">
            <v>43997</v>
          </cell>
          <cell r="H509">
            <v>668725</v>
          </cell>
          <cell r="I509" t="str">
            <v>K</v>
          </cell>
          <cell r="J509">
            <v>0</v>
          </cell>
          <cell r="K509">
            <v>100</v>
          </cell>
          <cell r="L509">
            <v>100</v>
          </cell>
          <cell r="N509">
            <v>100</v>
          </cell>
          <cell r="P509">
            <v>0</v>
          </cell>
          <cell r="Q509" t="str">
            <v>Trat. 02/07 - DIADEMA</v>
          </cell>
          <cell r="T509">
            <v>8</v>
          </cell>
        </row>
        <row r="510">
          <cell r="A510">
            <v>202614116</v>
          </cell>
          <cell r="B510" t="str">
            <v>65.116.01110-0</v>
          </cell>
          <cell r="C510" t="str">
            <v xml:space="preserve">CHAPA INF FIX TEC EPP1217 ROHS                      REV-01  </v>
          </cell>
          <cell r="D510" t="str">
            <v/>
          </cell>
          <cell r="E510" t="str">
            <v>KION IND E COM LT</v>
          </cell>
          <cell r="F510">
            <v>401</v>
          </cell>
          <cell r="G510">
            <v>44011</v>
          </cell>
          <cell r="H510">
            <v>668725</v>
          </cell>
          <cell r="I510" t="str">
            <v>K</v>
          </cell>
          <cell r="J510">
            <v>0</v>
          </cell>
          <cell r="K510">
            <v>100</v>
          </cell>
          <cell r="L510">
            <v>100</v>
          </cell>
          <cell r="N510">
            <v>100</v>
          </cell>
          <cell r="P510">
            <v>0</v>
          </cell>
          <cell r="Q510" t="str">
            <v>Trat. 23/07 - 312p - DIADEMA</v>
          </cell>
          <cell r="T510">
            <v>8</v>
          </cell>
        </row>
        <row r="511">
          <cell r="A511">
            <v>202614117</v>
          </cell>
          <cell r="B511" t="str">
            <v>65.116.01110-0</v>
          </cell>
          <cell r="C511" t="str">
            <v xml:space="preserve">CHAPA INF FIX TEC EPP1217 ROHS                      REV-01  </v>
          </cell>
          <cell r="D511" t="str">
            <v/>
          </cell>
          <cell r="E511" t="str">
            <v>KION IND E COM LT</v>
          </cell>
          <cell r="F511">
            <v>401</v>
          </cell>
          <cell r="G511">
            <v>44011</v>
          </cell>
          <cell r="H511">
            <v>668725</v>
          </cell>
          <cell r="I511" t="str">
            <v>K</v>
          </cell>
          <cell r="J511">
            <v>0</v>
          </cell>
          <cell r="K511">
            <v>100</v>
          </cell>
          <cell r="L511">
            <v>100</v>
          </cell>
          <cell r="N511">
            <v>100</v>
          </cell>
          <cell r="P511">
            <v>0</v>
          </cell>
          <cell r="Q511" t="str">
            <v>Trat. 23/07 - DIADEMA</v>
          </cell>
          <cell r="T511">
            <v>8</v>
          </cell>
        </row>
        <row r="512">
          <cell r="A512">
            <v>202614118</v>
          </cell>
          <cell r="B512" t="str">
            <v>65.116.01110-0</v>
          </cell>
          <cell r="C512" t="str">
            <v xml:space="preserve">CHAPA INF FIX TEC EPP1217 ROHS                      REV-01  </v>
          </cell>
          <cell r="D512" t="str">
            <v/>
          </cell>
          <cell r="E512" t="str">
            <v>KION IND E COM LT</v>
          </cell>
          <cell r="F512">
            <v>401</v>
          </cell>
          <cell r="G512">
            <v>44025</v>
          </cell>
          <cell r="H512">
            <v>668725</v>
          </cell>
          <cell r="I512" t="str">
            <v>K</v>
          </cell>
          <cell r="J512">
            <v>0</v>
          </cell>
          <cell r="K512">
            <v>100</v>
          </cell>
          <cell r="L512">
            <v>100</v>
          </cell>
          <cell r="N512">
            <v>100</v>
          </cell>
          <cell r="P512">
            <v>0</v>
          </cell>
          <cell r="Q512" t="str">
            <v>Trat. 23/07 - DIADEMA</v>
          </cell>
          <cell r="T512">
            <v>8</v>
          </cell>
        </row>
        <row r="513">
          <cell r="A513">
            <v>9999305176</v>
          </cell>
          <cell r="B513" t="str">
            <v>65.111.08252-5</v>
          </cell>
          <cell r="C513" t="str">
            <v xml:space="preserve">SUPORTE TRAVA RM4                                   REV-01  </v>
          </cell>
          <cell r="D513" t="str">
            <v/>
          </cell>
          <cell r="E513" t="str">
            <v>KION IND E COM LT</v>
          </cell>
          <cell r="F513">
            <v>401</v>
          </cell>
          <cell r="G513">
            <v>44025</v>
          </cell>
          <cell r="H513">
            <v>668725</v>
          </cell>
          <cell r="I513" t="str">
            <v>K</v>
          </cell>
          <cell r="J513">
            <v>-21</v>
          </cell>
          <cell r="K513">
            <v>100</v>
          </cell>
          <cell r="L513">
            <v>100</v>
          </cell>
          <cell r="P513">
            <v>100</v>
          </cell>
          <cell r="Q513" t="str">
            <v>Trat. 28/07 - DIADEMA</v>
          </cell>
          <cell r="R513" t="str">
            <v>10/08 - A</v>
          </cell>
          <cell r="S513">
            <v>44067</v>
          </cell>
          <cell r="T513">
            <v>7</v>
          </cell>
        </row>
        <row r="514">
          <cell r="A514">
            <v>9999305177</v>
          </cell>
          <cell r="B514" t="str">
            <v>65.111.08252-5</v>
          </cell>
          <cell r="C514" t="str">
            <v xml:space="preserve">SUPORTE TRAVA RM4                                   REV-01  </v>
          </cell>
          <cell r="D514" t="str">
            <v/>
          </cell>
          <cell r="E514" t="str">
            <v>KION IND E COM LT</v>
          </cell>
          <cell r="F514">
            <v>401</v>
          </cell>
          <cell r="G514">
            <v>44025</v>
          </cell>
          <cell r="H514">
            <v>668725</v>
          </cell>
          <cell r="I514" t="str">
            <v>K</v>
          </cell>
          <cell r="J514">
            <v>-21</v>
          </cell>
          <cell r="K514">
            <v>100</v>
          </cell>
          <cell r="L514">
            <v>100</v>
          </cell>
          <cell r="P514">
            <v>100</v>
          </cell>
          <cell r="Q514" t="str">
            <v>Trat. 28/07 - DIADEMA</v>
          </cell>
          <cell r="R514" t="str">
            <v>10/08 - A</v>
          </cell>
          <cell r="S514">
            <v>44067</v>
          </cell>
          <cell r="T514">
            <v>7</v>
          </cell>
        </row>
        <row r="515">
          <cell r="A515">
            <v>9999305178</v>
          </cell>
          <cell r="B515" t="str">
            <v>65.111.08252-5</v>
          </cell>
          <cell r="C515" t="str">
            <v xml:space="preserve">SUPORTE TRAVA RM4                                   REV-01  </v>
          </cell>
          <cell r="D515" t="str">
            <v/>
          </cell>
          <cell r="E515" t="str">
            <v>KION IND E COM LT</v>
          </cell>
          <cell r="F515">
            <v>401</v>
          </cell>
          <cell r="G515">
            <v>44025</v>
          </cell>
          <cell r="H515">
            <v>668725</v>
          </cell>
          <cell r="I515" t="str">
            <v>K</v>
          </cell>
          <cell r="J515">
            <v>-21</v>
          </cell>
          <cell r="K515">
            <v>100</v>
          </cell>
          <cell r="L515">
            <v>100</v>
          </cell>
          <cell r="P515">
            <v>100</v>
          </cell>
          <cell r="Q515" t="str">
            <v>Trat. 28/07 - DIADEMA</v>
          </cell>
          <cell r="R515" t="str">
            <v>10/08 - A</v>
          </cell>
          <cell r="S515">
            <v>44074</v>
          </cell>
          <cell r="T515">
            <v>8</v>
          </cell>
        </row>
        <row r="516">
          <cell r="A516">
            <v>9999305179</v>
          </cell>
          <cell r="B516" t="str">
            <v>65.111.08252-5</v>
          </cell>
          <cell r="C516" t="str">
            <v xml:space="preserve">SUPORTE TRAVA RM4                                   REV-01  </v>
          </cell>
          <cell r="D516" t="str">
            <v/>
          </cell>
          <cell r="E516" t="str">
            <v>KION IND E COM LT</v>
          </cell>
          <cell r="F516">
            <v>401</v>
          </cell>
          <cell r="G516">
            <v>44025</v>
          </cell>
          <cell r="H516">
            <v>668725</v>
          </cell>
          <cell r="I516" t="str">
            <v>K</v>
          </cell>
          <cell r="J516">
            <v>-21</v>
          </cell>
          <cell r="K516">
            <v>100</v>
          </cell>
          <cell r="L516">
            <v>100</v>
          </cell>
          <cell r="P516">
            <v>100</v>
          </cell>
          <cell r="Q516" t="str">
            <v>Trat. 28/07 - DIADEMA</v>
          </cell>
          <cell r="R516" t="str">
            <v>10/08 - A</v>
          </cell>
          <cell r="S516">
            <v>44074</v>
          </cell>
          <cell r="T516">
            <v>8</v>
          </cell>
        </row>
        <row r="517">
          <cell r="A517">
            <v>9999305180</v>
          </cell>
          <cell r="B517" t="str">
            <v>65.111.08252-5</v>
          </cell>
          <cell r="C517" t="str">
            <v xml:space="preserve">SUPORTE TRAVA RM4                                   REV-01  </v>
          </cell>
          <cell r="D517" t="str">
            <v/>
          </cell>
          <cell r="E517" t="str">
            <v>KION IND E COM LT</v>
          </cell>
          <cell r="F517">
            <v>401</v>
          </cell>
          <cell r="G517">
            <v>44025</v>
          </cell>
          <cell r="H517">
            <v>668725</v>
          </cell>
          <cell r="I517" t="str">
            <v>K</v>
          </cell>
          <cell r="J517">
            <v>-21</v>
          </cell>
          <cell r="K517">
            <v>100</v>
          </cell>
          <cell r="L517">
            <v>100</v>
          </cell>
          <cell r="P517">
            <v>100</v>
          </cell>
          <cell r="Q517" t="str">
            <v>Trat. 28/07 - DIADEMA</v>
          </cell>
          <cell r="R517" t="str">
            <v>10/08 - A</v>
          </cell>
          <cell r="S517">
            <v>44074</v>
          </cell>
          <cell r="T517">
            <v>8</v>
          </cell>
        </row>
        <row r="518">
          <cell r="A518">
            <v>9999305181</v>
          </cell>
          <cell r="B518" t="str">
            <v>65.111.08252-5</v>
          </cell>
          <cell r="C518" t="str">
            <v xml:space="preserve">SUPORTE TRAVA RM4                                   REV-01  </v>
          </cell>
          <cell r="D518" t="str">
            <v/>
          </cell>
          <cell r="E518" t="str">
            <v>KION IND E COM LT</v>
          </cell>
          <cell r="F518">
            <v>401</v>
          </cell>
          <cell r="G518">
            <v>44025</v>
          </cell>
          <cell r="H518">
            <v>668725</v>
          </cell>
          <cell r="I518" t="str">
            <v>K</v>
          </cell>
          <cell r="J518">
            <v>-21</v>
          </cell>
          <cell r="K518">
            <v>100</v>
          </cell>
          <cell r="L518">
            <v>100</v>
          </cell>
          <cell r="P518">
            <v>100</v>
          </cell>
          <cell r="Q518" t="str">
            <v>Trat. 28/07 - DIADEMA</v>
          </cell>
          <cell r="R518" t="str">
            <v>10/08 - A</v>
          </cell>
          <cell r="S518">
            <v>44074</v>
          </cell>
          <cell r="T518">
            <v>8</v>
          </cell>
        </row>
        <row r="519">
          <cell r="A519">
            <v>9999305182</v>
          </cell>
          <cell r="B519" t="str">
            <v>65.111.08252-5</v>
          </cell>
          <cell r="C519" t="str">
            <v xml:space="preserve">SUPORTE TRAVA RM4                                   REV-01  </v>
          </cell>
          <cell r="D519" t="str">
            <v/>
          </cell>
          <cell r="E519" t="str">
            <v>KION IND E COM LT</v>
          </cell>
          <cell r="F519">
            <v>401</v>
          </cell>
          <cell r="G519">
            <v>44025</v>
          </cell>
          <cell r="H519">
            <v>668725</v>
          </cell>
          <cell r="I519" t="str">
            <v>K</v>
          </cell>
          <cell r="J519">
            <v>-21</v>
          </cell>
          <cell r="K519">
            <v>100</v>
          </cell>
          <cell r="L519">
            <v>100</v>
          </cell>
          <cell r="P519">
            <v>100</v>
          </cell>
          <cell r="Q519" t="str">
            <v>Trat. 28/07 - DIADEMA</v>
          </cell>
          <cell r="R519" t="str">
            <v>10/08 - A</v>
          </cell>
          <cell r="S519">
            <v>44074</v>
          </cell>
          <cell r="T519">
            <v>8</v>
          </cell>
        </row>
        <row r="520">
          <cell r="A520">
            <v>9999305183</v>
          </cell>
          <cell r="B520" t="str">
            <v>65.111.08252-5</v>
          </cell>
          <cell r="C520" t="str">
            <v xml:space="preserve">SUPORTE TRAVA RM4                                   REV-01  </v>
          </cell>
          <cell r="D520" t="str">
            <v/>
          </cell>
          <cell r="E520" t="str">
            <v>KION IND E COM LT</v>
          </cell>
          <cell r="F520">
            <v>401</v>
          </cell>
          <cell r="G520">
            <v>44025</v>
          </cell>
          <cell r="H520">
            <v>668725</v>
          </cell>
          <cell r="I520" t="str">
            <v>K</v>
          </cell>
          <cell r="J520">
            <v>-21</v>
          </cell>
          <cell r="K520">
            <v>100</v>
          </cell>
          <cell r="L520">
            <v>100</v>
          </cell>
          <cell r="P520">
            <v>100</v>
          </cell>
          <cell r="Q520" t="str">
            <v>Trat. 28/07 - DIADEMA</v>
          </cell>
          <cell r="R520" t="str">
            <v>10/08 - A</v>
          </cell>
          <cell r="S520">
            <v>44081</v>
          </cell>
          <cell r="T520">
            <v>9</v>
          </cell>
        </row>
        <row r="521">
          <cell r="A521">
            <v>202616164</v>
          </cell>
          <cell r="B521" t="str">
            <v>65.510.00073-1</v>
          </cell>
          <cell r="C521" t="str">
            <v xml:space="preserve">PROTECAO CABECA  ROHS  REV-00                       REV-03  </v>
          </cell>
          <cell r="D521" t="str">
            <v/>
          </cell>
          <cell r="E521" t="str">
            <v>KION IND E COM LT</v>
          </cell>
          <cell r="F521">
            <v>401</v>
          </cell>
          <cell r="G521">
            <v>43983</v>
          </cell>
          <cell r="H521">
            <v>668725</v>
          </cell>
          <cell r="I521" t="str">
            <v>K</v>
          </cell>
          <cell r="J521">
            <v>0</v>
          </cell>
          <cell r="K521">
            <v>100</v>
          </cell>
          <cell r="L521">
            <v>100</v>
          </cell>
          <cell r="M521">
            <v>100</v>
          </cell>
          <cell r="P521">
            <v>0</v>
          </cell>
          <cell r="Q521" t="str">
            <v>EST OK - TST 09/07</v>
          </cell>
          <cell r="T521">
            <v>8</v>
          </cell>
        </row>
        <row r="522">
          <cell r="A522">
            <v>202616165</v>
          </cell>
          <cell r="B522" t="str">
            <v>65.510.00073-1</v>
          </cell>
          <cell r="C522" t="str">
            <v xml:space="preserve">PROTECAO CABECA  ROHS  REV-00                       REV-03  </v>
          </cell>
          <cell r="D522" t="str">
            <v/>
          </cell>
          <cell r="E522" t="str">
            <v>KION IND E COM LT</v>
          </cell>
          <cell r="F522">
            <v>401</v>
          </cell>
          <cell r="G522">
            <v>43983</v>
          </cell>
          <cell r="H522">
            <v>668725</v>
          </cell>
          <cell r="I522" t="str">
            <v>K</v>
          </cell>
          <cell r="J522">
            <v>0</v>
          </cell>
          <cell r="K522">
            <v>100</v>
          </cell>
          <cell r="L522">
            <v>100</v>
          </cell>
          <cell r="M522">
            <v>100</v>
          </cell>
          <cell r="P522">
            <v>0</v>
          </cell>
          <cell r="Q522" t="str">
            <v>LASER 18/06 - FM</v>
          </cell>
          <cell r="T522">
            <v>8</v>
          </cell>
        </row>
        <row r="523">
          <cell r="A523">
            <v>202616166</v>
          </cell>
          <cell r="B523" t="str">
            <v>65.510.00073-1</v>
          </cell>
          <cell r="C523" t="str">
            <v xml:space="preserve">PROTECAO CABECA  ROHS  REV-00                       REV-03  </v>
          </cell>
          <cell r="D523" t="str">
            <v/>
          </cell>
          <cell r="E523" t="str">
            <v>KION IND E COM LT</v>
          </cell>
          <cell r="F523">
            <v>401</v>
          </cell>
          <cell r="G523">
            <v>43997</v>
          </cell>
          <cell r="H523">
            <v>668725</v>
          </cell>
          <cell r="I523" t="str">
            <v>K</v>
          </cell>
          <cell r="J523">
            <v>0</v>
          </cell>
          <cell r="K523">
            <v>100</v>
          </cell>
          <cell r="L523">
            <v>100</v>
          </cell>
          <cell r="M523">
            <v>100</v>
          </cell>
          <cell r="P523">
            <v>0</v>
          </cell>
          <cell r="Q523" t="str">
            <v>LASER 18/06 - FM</v>
          </cell>
          <cell r="T523">
            <v>8</v>
          </cell>
        </row>
        <row r="524">
          <cell r="A524">
            <v>202616167</v>
          </cell>
          <cell r="B524" t="str">
            <v>65.510.00073-1</v>
          </cell>
          <cell r="C524" t="str">
            <v xml:space="preserve">PROTECAO CABECA  ROHS  REV-00                       REV-03  </v>
          </cell>
          <cell r="D524" t="str">
            <v/>
          </cell>
          <cell r="E524" t="str">
            <v>KION IND E COM LT</v>
          </cell>
          <cell r="F524">
            <v>401</v>
          </cell>
          <cell r="G524">
            <v>43997</v>
          </cell>
          <cell r="H524">
            <v>668725</v>
          </cell>
          <cell r="I524" t="str">
            <v>K</v>
          </cell>
          <cell r="J524">
            <v>0</v>
          </cell>
          <cell r="K524">
            <v>100</v>
          </cell>
          <cell r="L524">
            <v>100</v>
          </cell>
          <cell r="N524">
            <v>100</v>
          </cell>
          <cell r="P524">
            <v>0</v>
          </cell>
          <cell r="Q524" t="str">
            <v>LASER 18/06 - FM</v>
          </cell>
          <cell r="T524">
            <v>8</v>
          </cell>
        </row>
        <row r="525">
          <cell r="A525">
            <v>202616168</v>
          </cell>
          <cell r="B525" t="str">
            <v>65.510.00073-1</v>
          </cell>
          <cell r="C525" t="str">
            <v xml:space="preserve">PROTECAO CABECA  ROHS  REV-00                       REV-03  </v>
          </cell>
          <cell r="D525" t="str">
            <v/>
          </cell>
          <cell r="E525" t="str">
            <v>KION IND E COM LT</v>
          </cell>
          <cell r="F525">
            <v>401</v>
          </cell>
          <cell r="G525">
            <v>44011</v>
          </cell>
          <cell r="H525">
            <v>668725</v>
          </cell>
          <cell r="I525" t="str">
            <v>K</v>
          </cell>
          <cell r="J525">
            <v>0</v>
          </cell>
          <cell r="K525">
            <v>100</v>
          </cell>
          <cell r="L525">
            <v>100</v>
          </cell>
          <cell r="N525">
            <v>100</v>
          </cell>
          <cell r="P525">
            <v>0</v>
          </cell>
          <cell r="Q525" t="str">
            <v>EST OK (VK - 17/07)</v>
          </cell>
          <cell r="T525">
            <v>8</v>
          </cell>
        </row>
        <row r="526">
          <cell r="A526">
            <v>9999305184</v>
          </cell>
          <cell r="B526" t="str">
            <v>65.111.08252-5</v>
          </cell>
          <cell r="C526" t="str">
            <v xml:space="preserve">SUPORTE TRAVA RM4                                   REV-01  </v>
          </cell>
          <cell r="D526" t="str">
            <v/>
          </cell>
          <cell r="E526" t="str">
            <v>KION IND E COM LT</v>
          </cell>
          <cell r="F526">
            <v>401</v>
          </cell>
          <cell r="G526">
            <v>44025</v>
          </cell>
          <cell r="H526">
            <v>668725</v>
          </cell>
          <cell r="I526" t="str">
            <v>K</v>
          </cell>
          <cell r="J526">
            <v>-21</v>
          </cell>
          <cell r="K526">
            <v>100</v>
          </cell>
          <cell r="L526">
            <v>100</v>
          </cell>
          <cell r="P526">
            <v>100</v>
          </cell>
          <cell r="Q526" t="str">
            <v>Trat. 28/07 - DIADEMA</v>
          </cell>
          <cell r="R526" t="str">
            <v>10/08 - A</v>
          </cell>
          <cell r="S526">
            <v>44081</v>
          </cell>
          <cell r="T526">
            <v>9</v>
          </cell>
        </row>
        <row r="527">
          <cell r="A527">
            <v>9999305185</v>
          </cell>
          <cell r="B527" t="str">
            <v>65.111.08252-5</v>
          </cell>
          <cell r="C527" t="str">
            <v xml:space="preserve">SUPORTE TRAVA RM4                                   REV-01  </v>
          </cell>
          <cell r="D527" t="str">
            <v/>
          </cell>
          <cell r="E527" t="str">
            <v>KION IND E COM LT</v>
          </cell>
          <cell r="F527">
            <v>401</v>
          </cell>
          <cell r="G527">
            <v>44025</v>
          </cell>
          <cell r="H527">
            <v>668725</v>
          </cell>
          <cell r="I527" t="str">
            <v>K</v>
          </cell>
          <cell r="J527">
            <v>-21</v>
          </cell>
          <cell r="K527">
            <v>100</v>
          </cell>
          <cell r="L527">
            <v>100</v>
          </cell>
          <cell r="P527">
            <v>100</v>
          </cell>
          <cell r="Q527" t="str">
            <v/>
          </cell>
          <cell r="S527">
            <v>44081</v>
          </cell>
          <cell r="T527">
            <v>9</v>
          </cell>
        </row>
        <row r="528">
          <cell r="A528">
            <v>9999305186</v>
          </cell>
          <cell r="B528" t="str">
            <v>65.111.08252-5</v>
          </cell>
          <cell r="C528" t="str">
            <v xml:space="preserve">SUPORTE TRAVA RM4                                   REV-01  </v>
          </cell>
          <cell r="D528" t="str">
            <v/>
          </cell>
          <cell r="E528" t="str">
            <v>KION IND E COM LT</v>
          </cell>
          <cell r="F528">
            <v>401</v>
          </cell>
          <cell r="G528">
            <v>44039</v>
          </cell>
          <cell r="H528">
            <v>668725</v>
          </cell>
          <cell r="I528" t="str">
            <v>K</v>
          </cell>
          <cell r="J528">
            <v>-7</v>
          </cell>
          <cell r="K528">
            <v>100</v>
          </cell>
          <cell r="L528">
            <v>100</v>
          </cell>
          <cell r="P528">
            <v>100</v>
          </cell>
          <cell r="Q528" t="str">
            <v/>
          </cell>
          <cell r="S528">
            <v>44081</v>
          </cell>
          <cell r="T528">
            <v>9</v>
          </cell>
        </row>
        <row r="529">
          <cell r="A529">
            <v>982074451</v>
          </cell>
          <cell r="B529" t="str">
            <v>65.111.08253-2</v>
          </cell>
          <cell r="C529" t="str">
            <v>ALOJAMENTO EIXO BATENTE RM4                         REV-00</v>
          </cell>
          <cell r="D529" t="str">
            <v/>
          </cell>
          <cell r="E529" t="str">
            <v>KION IND E COM LT</v>
          </cell>
          <cell r="F529">
            <v>401</v>
          </cell>
          <cell r="G529">
            <v>44067</v>
          </cell>
          <cell r="H529">
            <v>377859</v>
          </cell>
          <cell r="J529">
            <v>21</v>
          </cell>
          <cell r="K529">
            <v>250</v>
          </cell>
          <cell r="L529">
            <v>250</v>
          </cell>
          <cell r="P529">
            <v>250</v>
          </cell>
          <cell r="Q529" t="str">
            <v>OP 28/07 - FM</v>
          </cell>
          <cell r="S529">
            <v>44067</v>
          </cell>
          <cell r="T529">
            <v>7</v>
          </cell>
        </row>
        <row r="530">
          <cell r="A530">
            <v>982074452</v>
          </cell>
          <cell r="B530" t="str">
            <v>65.111.08253-2</v>
          </cell>
          <cell r="C530" t="str">
            <v>ALOJAMENTO EIXO BATENTE RM4                         REV-00</v>
          </cell>
          <cell r="D530" t="str">
            <v/>
          </cell>
          <cell r="E530" t="str">
            <v>KION IND E COM LT</v>
          </cell>
          <cell r="F530">
            <v>401</v>
          </cell>
          <cell r="G530">
            <v>44081</v>
          </cell>
          <cell r="H530">
            <v>377859</v>
          </cell>
          <cell r="J530">
            <v>35</v>
          </cell>
          <cell r="K530">
            <v>250</v>
          </cell>
          <cell r="L530">
            <v>250</v>
          </cell>
          <cell r="P530">
            <v>250</v>
          </cell>
          <cell r="Q530" t="str">
            <v>OP 28/07 - FM</v>
          </cell>
          <cell r="S530">
            <v>44074</v>
          </cell>
          <cell r="T530">
            <v>8</v>
          </cell>
        </row>
        <row r="531">
          <cell r="A531">
            <v>982074453</v>
          </cell>
          <cell r="B531" t="str">
            <v>65.111.08253-2</v>
          </cell>
          <cell r="C531" t="str">
            <v>ALOJAMENTO EIXO BATENTE RM4                         REV-00</v>
          </cell>
          <cell r="D531" t="str">
            <v/>
          </cell>
          <cell r="E531" t="str">
            <v>KION IND E COM LT</v>
          </cell>
          <cell r="F531">
            <v>401</v>
          </cell>
          <cell r="G531">
            <v>44095</v>
          </cell>
          <cell r="H531">
            <v>377859</v>
          </cell>
          <cell r="J531">
            <v>49</v>
          </cell>
          <cell r="K531">
            <v>200</v>
          </cell>
          <cell r="L531">
            <v>200</v>
          </cell>
          <cell r="P531">
            <v>200</v>
          </cell>
          <cell r="Q531" t="str">
            <v/>
          </cell>
          <cell r="S531">
            <v>44081</v>
          </cell>
          <cell r="T531">
            <v>9</v>
          </cell>
        </row>
        <row r="532">
          <cell r="A532">
            <v>982074454</v>
          </cell>
          <cell r="B532" t="str">
            <v>65.111.08253-2</v>
          </cell>
          <cell r="C532" t="str">
            <v>ALOJAMENTO EIXO BATENTE RM4                         REV-00</v>
          </cell>
          <cell r="D532" t="str">
            <v/>
          </cell>
          <cell r="E532" t="str">
            <v>KION IND E COM LT</v>
          </cell>
          <cell r="F532">
            <v>401</v>
          </cell>
          <cell r="G532">
            <v>44102</v>
          </cell>
          <cell r="H532">
            <v>377859</v>
          </cell>
          <cell r="J532">
            <v>56</v>
          </cell>
          <cell r="K532">
            <v>250</v>
          </cell>
          <cell r="L532">
            <v>250</v>
          </cell>
          <cell r="P532">
            <v>250</v>
          </cell>
          <cell r="Q532" t="str">
            <v/>
          </cell>
          <cell r="S532">
            <v>44088</v>
          </cell>
          <cell r="T532">
            <v>10</v>
          </cell>
        </row>
        <row r="533">
          <cell r="A533">
            <v>982074455</v>
          </cell>
          <cell r="B533" t="str">
            <v>65.111.08253-2</v>
          </cell>
          <cell r="C533" t="str">
            <v>ALOJAMENTO EIXO BATENTE RM4                         REV-00</v>
          </cell>
          <cell r="D533" t="str">
            <v/>
          </cell>
          <cell r="E533" t="str">
            <v>KION IND E COM LT</v>
          </cell>
          <cell r="F533">
            <v>401</v>
          </cell>
          <cell r="G533">
            <v>44123</v>
          </cell>
          <cell r="H533">
            <v>377859</v>
          </cell>
          <cell r="J533">
            <v>77</v>
          </cell>
          <cell r="K533">
            <v>200</v>
          </cell>
          <cell r="L533">
            <v>200</v>
          </cell>
          <cell r="P533">
            <v>200</v>
          </cell>
          <cell r="Q533" t="str">
            <v/>
          </cell>
          <cell r="S533">
            <v>44109</v>
          </cell>
          <cell r="T533">
            <v>13</v>
          </cell>
        </row>
        <row r="534">
          <cell r="A534">
            <v>982074456</v>
          </cell>
          <cell r="B534" t="str">
            <v>65.111.08253-2</v>
          </cell>
          <cell r="C534" t="str">
            <v>ALOJAMENTO EIXO BATENTE RM4                         REV-00</v>
          </cell>
          <cell r="D534" t="str">
            <v/>
          </cell>
          <cell r="E534" t="str">
            <v>KION IND E COM LT</v>
          </cell>
          <cell r="F534">
            <v>401</v>
          </cell>
          <cell r="G534">
            <v>44130</v>
          </cell>
          <cell r="H534">
            <v>377859</v>
          </cell>
          <cell r="J534">
            <v>84</v>
          </cell>
          <cell r="K534">
            <v>150</v>
          </cell>
          <cell r="L534">
            <v>150</v>
          </cell>
          <cell r="P534">
            <v>150</v>
          </cell>
          <cell r="Q534" t="str">
            <v/>
          </cell>
          <cell r="S534" t="str">
            <v>DF</v>
          </cell>
          <cell r="T534" t="str">
            <v>DF</v>
          </cell>
        </row>
        <row r="535">
          <cell r="A535">
            <v>982088661</v>
          </cell>
          <cell r="B535" t="str">
            <v>65.111.08253-2</v>
          </cell>
          <cell r="C535" t="str">
            <v>ALOJAMENTO EIXO BATENTE RM4                         REV-00</v>
          </cell>
          <cell r="D535" t="str">
            <v/>
          </cell>
          <cell r="E535" t="str">
            <v>KION IND E COM LT</v>
          </cell>
          <cell r="F535">
            <v>401</v>
          </cell>
          <cell r="G535">
            <v>44130</v>
          </cell>
          <cell r="H535">
            <v>377860</v>
          </cell>
          <cell r="J535">
            <v>84</v>
          </cell>
          <cell r="K535">
            <v>80</v>
          </cell>
          <cell r="L535">
            <v>80</v>
          </cell>
          <cell r="P535">
            <v>80</v>
          </cell>
          <cell r="Q535" t="str">
            <v/>
          </cell>
          <cell r="S535" t="str">
            <v>DF</v>
          </cell>
          <cell r="T535" t="str">
            <v>DF</v>
          </cell>
        </row>
        <row r="536">
          <cell r="A536">
            <v>999930763</v>
          </cell>
          <cell r="B536" t="str">
            <v>65.111.08278-5</v>
          </cell>
          <cell r="C536" t="str">
            <v xml:space="preserve">SUPORTE ESTEIRA CABOS IMPRESSORA RM4                REV-02  </v>
          </cell>
          <cell r="D536" t="str">
            <v/>
          </cell>
          <cell r="E536" t="str">
            <v>KION IND E COM LT</v>
          </cell>
          <cell r="F536">
            <v>401</v>
          </cell>
          <cell r="G536">
            <v>44025</v>
          </cell>
          <cell r="H536">
            <v>668725</v>
          </cell>
          <cell r="I536" t="str">
            <v>K</v>
          </cell>
          <cell r="J536">
            <v>-21</v>
          </cell>
          <cell r="K536">
            <v>100</v>
          </cell>
          <cell r="L536">
            <v>100</v>
          </cell>
          <cell r="P536">
            <v>100</v>
          </cell>
          <cell r="Q536" t="str">
            <v>LASER 30/07 - FM</v>
          </cell>
          <cell r="S536">
            <v>44067</v>
          </cell>
          <cell r="T536">
            <v>7</v>
          </cell>
        </row>
        <row r="537">
          <cell r="A537">
            <v>999930764</v>
          </cell>
          <cell r="B537" t="str">
            <v>65.111.08278-5</v>
          </cell>
          <cell r="C537" t="str">
            <v xml:space="preserve">SUPORTE ESTEIRA CABOS IMPRESSORA RM4                REV-02  </v>
          </cell>
          <cell r="D537" t="str">
            <v/>
          </cell>
          <cell r="E537" t="str">
            <v>KION IND E COM LT</v>
          </cell>
          <cell r="F537">
            <v>401</v>
          </cell>
          <cell r="G537">
            <v>44025</v>
          </cell>
          <cell r="H537">
            <v>668725</v>
          </cell>
          <cell r="I537" t="str">
            <v>K</v>
          </cell>
          <cell r="J537">
            <v>-21</v>
          </cell>
          <cell r="K537">
            <v>100</v>
          </cell>
          <cell r="L537">
            <v>100</v>
          </cell>
          <cell r="P537">
            <v>100</v>
          </cell>
          <cell r="Q537" t="str">
            <v>LASER 30/07 - FM</v>
          </cell>
          <cell r="S537">
            <v>44074</v>
          </cell>
          <cell r="T537">
            <v>8</v>
          </cell>
        </row>
        <row r="538">
          <cell r="A538">
            <v>999930765</v>
          </cell>
          <cell r="B538" t="str">
            <v>65.111.08278-5</v>
          </cell>
          <cell r="C538" t="str">
            <v xml:space="preserve">SUPORTE ESTEIRA CABOS IMPRESSORA RM4                REV-02  </v>
          </cell>
          <cell r="D538" t="str">
            <v/>
          </cell>
          <cell r="E538" t="str">
            <v>KION IND E COM LT</v>
          </cell>
          <cell r="F538">
            <v>401</v>
          </cell>
          <cell r="G538">
            <v>44025</v>
          </cell>
          <cell r="H538">
            <v>668725</v>
          </cell>
          <cell r="I538" t="str">
            <v>K</v>
          </cell>
          <cell r="J538">
            <v>-21</v>
          </cell>
          <cell r="K538">
            <v>100</v>
          </cell>
          <cell r="L538">
            <v>100</v>
          </cell>
          <cell r="P538">
            <v>100</v>
          </cell>
          <cell r="Q538" t="str">
            <v>LASER 30/07 - FM</v>
          </cell>
          <cell r="S538">
            <v>44081</v>
          </cell>
          <cell r="T538">
            <v>9</v>
          </cell>
        </row>
        <row r="539">
          <cell r="A539">
            <v>999930766</v>
          </cell>
          <cell r="B539" t="str">
            <v>65.111.08278-5</v>
          </cell>
          <cell r="C539" t="str">
            <v xml:space="preserve">SUPORTE ESTEIRA CABOS IMPRESSORA RM4                REV-02  </v>
          </cell>
          <cell r="D539" t="str">
            <v/>
          </cell>
          <cell r="E539" t="str">
            <v>KION IND E COM LT</v>
          </cell>
          <cell r="F539">
            <v>401</v>
          </cell>
          <cell r="G539">
            <v>44025</v>
          </cell>
          <cell r="H539">
            <v>668725</v>
          </cell>
          <cell r="I539" t="str">
            <v>K</v>
          </cell>
          <cell r="J539">
            <v>-21</v>
          </cell>
          <cell r="K539">
            <v>100</v>
          </cell>
          <cell r="L539">
            <v>100</v>
          </cell>
          <cell r="P539">
            <v>100</v>
          </cell>
          <cell r="Q539" t="str">
            <v>LASER 30/07 - FM</v>
          </cell>
          <cell r="S539">
            <v>44095</v>
          </cell>
          <cell r="T539">
            <v>11</v>
          </cell>
        </row>
        <row r="540">
          <cell r="A540">
            <v>9999308109</v>
          </cell>
          <cell r="B540" t="str">
            <v>65.111.08282-2</v>
          </cell>
          <cell r="C540" t="str">
            <v xml:space="preserve">GUIA EIXO SEGURANCA PORTA GAB RM4                   REV-00  </v>
          </cell>
          <cell r="D540" t="str">
            <v/>
          </cell>
          <cell r="E540" t="str">
            <v>KION IND E COM LT</v>
          </cell>
          <cell r="F540">
            <v>401</v>
          </cell>
          <cell r="G540">
            <v>44025</v>
          </cell>
          <cell r="H540">
            <v>668725</v>
          </cell>
          <cell r="I540" t="str">
            <v>K</v>
          </cell>
          <cell r="J540">
            <v>-21</v>
          </cell>
          <cell r="K540">
            <v>100</v>
          </cell>
          <cell r="L540">
            <v>100</v>
          </cell>
          <cell r="P540">
            <v>100</v>
          </cell>
          <cell r="Q540" t="str">
            <v>Trat. 10/08 - 479p - DIADEMA</v>
          </cell>
          <cell r="S540">
            <v>44067</v>
          </cell>
          <cell r="T540">
            <v>7</v>
          </cell>
        </row>
        <row r="541">
          <cell r="A541">
            <v>9999308110</v>
          </cell>
          <cell r="B541" t="str">
            <v>65.111.08282-2</v>
          </cell>
          <cell r="C541" t="str">
            <v xml:space="preserve">GUIA EIXO SEGURANCA PORTA GAB RM4                   REV-00  </v>
          </cell>
          <cell r="D541" t="str">
            <v/>
          </cell>
          <cell r="E541" t="str">
            <v>KION IND E COM LT</v>
          </cell>
          <cell r="F541">
            <v>401</v>
          </cell>
          <cell r="G541">
            <v>44025</v>
          </cell>
          <cell r="H541">
            <v>668725</v>
          </cell>
          <cell r="I541" t="str">
            <v>K</v>
          </cell>
          <cell r="J541">
            <v>-21</v>
          </cell>
          <cell r="K541">
            <v>100</v>
          </cell>
          <cell r="L541">
            <v>100</v>
          </cell>
          <cell r="P541">
            <v>100</v>
          </cell>
          <cell r="Q541" t="str">
            <v>Trat. 10/08 - DIADEMA</v>
          </cell>
          <cell r="S541">
            <v>44074</v>
          </cell>
          <cell r="T541">
            <v>8</v>
          </cell>
        </row>
        <row r="542">
          <cell r="A542">
            <v>9999308111</v>
          </cell>
          <cell r="B542" t="str">
            <v>65.111.08282-2</v>
          </cell>
          <cell r="C542" t="str">
            <v xml:space="preserve">GUIA EIXO SEGURANCA PORTA GAB RM4                   REV-00  </v>
          </cell>
          <cell r="D542" t="str">
            <v/>
          </cell>
          <cell r="E542" t="str">
            <v>KION IND E COM LT</v>
          </cell>
          <cell r="F542">
            <v>401</v>
          </cell>
          <cell r="G542">
            <v>44025</v>
          </cell>
          <cell r="H542">
            <v>668725</v>
          </cell>
          <cell r="I542" t="str">
            <v>K</v>
          </cell>
          <cell r="J542">
            <v>-21</v>
          </cell>
          <cell r="K542">
            <v>100</v>
          </cell>
          <cell r="L542">
            <v>100</v>
          </cell>
          <cell r="P542">
            <v>100</v>
          </cell>
          <cell r="Q542" t="str">
            <v>Trat. 10/08 - DIADEMA</v>
          </cell>
          <cell r="S542">
            <v>44081</v>
          </cell>
          <cell r="T542">
            <v>9</v>
          </cell>
        </row>
        <row r="543">
          <cell r="A543">
            <v>9999308112</v>
          </cell>
          <cell r="B543" t="str">
            <v>65.111.08282-2</v>
          </cell>
          <cell r="C543" t="str">
            <v xml:space="preserve">GUIA EIXO SEGURANCA PORTA GAB RM4                   REV-00  </v>
          </cell>
          <cell r="D543" t="str">
            <v/>
          </cell>
          <cell r="E543" t="str">
            <v>KION IND E COM LT</v>
          </cell>
          <cell r="F543">
            <v>401</v>
          </cell>
          <cell r="G543">
            <v>44025</v>
          </cell>
          <cell r="H543">
            <v>668725</v>
          </cell>
          <cell r="I543" t="str">
            <v>K</v>
          </cell>
          <cell r="J543">
            <v>-21</v>
          </cell>
          <cell r="K543">
            <v>100</v>
          </cell>
          <cell r="L543">
            <v>100</v>
          </cell>
          <cell r="P543">
            <v>100</v>
          </cell>
          <cell r="Q543" t="str">
            <v>Trat. 10/08 - DIADEMA</v>
          </cell>
          <cell r="S543">
            <v>44081</v>
          </cell>
          <cell r="T543">
            <v>9</v>
          </cell>
        </row>
        <row r="544">
          <cell r="A544">
            <v>20256370</v>
          </cell>
          <cell r="B544" t="str">
            <v>65.111.01007-2</v>
          </cell>
          <cell r="C544" t="str">
            <v>SUP LEITOR BARRAS DEP PENTASIS                      REV-06</v>
          </cell>
          <cell r="D544" t="str">
            <v/>
          </cell>
          <cell r="E544" t="str">
            <v>KION IND E COM LT</v>
          </cell>
          <cell r="F544">
            <v>401</v>
          </cell>
          <cell r="G544">
            <v>44004</v>
          </cell>
          <cell r="H544">
            <v>668725</v>
          </cell>
          <cell r="I544" t="str">
            <v>K</v>
          </cell>
          <cell r="J544">
            <v>0</v>
          </cell>
          <cell r="K544">
            <v>5</v>
          </cell>
          <cell r="L544">
            <v>5</v>
          </cell>
          <cell r="N544">
            <v>5</v>
          </cell>
          <cell r="P544">
            <v>0</v>
          </cell>
          <cell r="Q544" t="str">
            <v>EST OK - TST (09/07)</v>
          </cell>
          <cell r="T544">
            <v>9</v>
          </cell>
        </row>
        <row r="545">
          <cell r="A545">
            <v>999930964</v>
          </cell>
          <cell r="B545" t="str">
            <v>65.111.08284-6</v>
          </cell>
          <cell r="C545" t="str">
            <v xml:space="preserve">MANCAL DIREITO EIXO RM4                             REV-00  </v>
          </cell>
          <cell r="D545" t="str">
            <v/>
          </cell>
          <cell r="E545" t="str">
            <v>KION IND E COM LT</v>
          </cell>
          <cell r="F545">
            <v>401</v>
          </cell>
          <cell r="G545">
            <v>44025</v>
          </cell>
          <cell r="H545">
            <v>668725</v>
          </cell>
          <cell r="I545" t="str">
            <v>K</v>
          </cell>
          <cell r="J545">
            <v>-21</v>
          </cell>
          <cell r="K545">
            <v>100</v>
          </cell>
          <cell r="L545">
            <v>100</v>
          </cell>
          <cell r="P545">
            <v>100</v>
          </cell>
          <cell r="Q545" t="str">
            <v>ESTAMP. 30/07 - FM</v>
          </cell>
          <cell r="S545">
            <v>44067</v>
          </cell>
          <cell r="T545">
            <v>7</v>
          </cell>
        </row>
        <row r="546">
          <cell r="A546">
            <v>999930965</v>
          </cell>
          <cell r="B546" t="str">
            <v>65.111.08284-6</v>
          </cell>
          <cell r="C546" t="str">
            <v xml:space="preserve">MANCAL DIREITO EIXO RM4                             REV-00  </v>
          </cell>
          <cell r="D546" t="str">
            <v/>
          </cell>
          <cell r="E546" t="str">
            <v>KION IND E COM LT</v>
          </cell>
          <cell r="F546">
            <v>401</v>
          </cell>
          <cell r="G546">
            <v>44025</v>
          </cell>
          <cell r="H546">
            <v>668725</v>
          </cell>
          <cell r="I546" t="str">
            <v>K</v>
          </cell>
          <cell r="J546">
            <v>-21</v>
          </cell>
          <cell r="K546">
            <v>100</v>
          </cell>
          <cell r="L546">
            <v>100</v>
          </cell>
          <cell r="P546">
            <v>100</v>
          </cell>
          <cell r="Q546" t="str">
            <v>ESTAMP. 30/07 - FM</v>
          </cell>
          <cell r="S546">
            <v>44074</v>
          </cell>
          <cell r="T546">
            <v>8</v>
          </cell>
        </row>
        <row r="547">
          <cell r="A547">
            <v>999930966</v>
          </cell>
          <cell r="B547" t="str">
            <v>65.111.08284-6</v>
          </cell>
          <cell r="C547" t="str">
            <v xml:space="preserve">MANCAL DIREITO EIXO RM4                             REV-00  </v>
          </cell>
          <cell r="D547" t="str">
            <v/>
          </cell>
          <cell r="E547" t="str">
            <v>KION IND E COM LT</v>
          </cell>
          <cell r="F547">
            <v>401</v>
          </cell>
          <cell r="G547">
            <v>44025</v>
          </cell>
          <cell r="H547">
            <v>668725</v>
          </cell>
          <cell r="I547" t="str">
            <v>K</v>
          </cell>
          <cell r="J547">
            <v>-21</v>
          </cell>
          <cell r="K547">
            <v>100</v>
          </cell>
          <cell r="L547">
            <v>100</v>
          </cell>
          <cell r="P547">
            <v>100</v>
          </cell>
          <cell r="Q547" t="str">
            <v>ESTAMP. 30/07 - FM</v>
          </cell>
          <cell r="S547">
            <v>44081</v>
          </cell>
          <cell r="T547">
            <v>9</v>
          </cell>
        </row>
        <row r="548">
          <cell r="A548">
            <v>999930963</v>
          </cell>
          <cell r="B548" t="str">
            <v>65.111.08284-6</v>
          </cell>
          <cell r="C548" t="str">
            <v xml:space="preserve">MANCAL DIREITO EIXO RM4                             REV-00  </v>
          </cell>
          <cell r="D548" t="str">
            <v/>
          </cell>
          <cell r="E548" t="str">
            <v>KION IND E COM LT</v>
          </cell>
          <cell r="F548">
            <v>401</v>
          </cell>
          <cell r="G548">
            <v>44025</v>
          </cell>
          <cell r="H548">
            <v>668725</v>
          </cell>
          <cell r="I548" t="str">
            <v>K</v>
          </cell>
          <cell r="J548">
            <v>-21</v>
          </cell>
          <cell r="K548">
            <v>100</v>
          </cell>
          <cell r="L548">
            <v>100</v>
          </cell>
          <cell r="P548">
            <v>100</v>
          </cell>
          <cell r="Q548" t="str">
            <v>material em produção - previsão de entrega até 11/08</v>
          </cell>
          <cell r="S548">
            <v>44053</v>
          </cell>
          <cell r="T548">
            <v>5</v>
          </cell>
        </row>
        <row r="549">
          <cell r="A549">
            <v>999931063</v>
          </cell>
          <cell r="B549" t="str">
            <v>65.111.08286-0</v>
          </cell>
          <cell r="C549" t="str">
            <v xml:space="preserve">CONJ TRAVA PORTA TRAS GABINETE RM4                  REV-00  </v>
          </cell>
          <cell r="D549" t="str">
            <v>65.110.01583-0</v>
          </cell>
          <cell r="E549" t="str">
            <v>KION IND E COM LT</v>
          </cell>
          <cell r="F549">
            <v>401</v>
          </cell>
          <cell r="G549">
            <v>44011</v>
          </cell>
          <cell r="H549">
            <v>668725</v>
          </cell>
          <cell r="I549" t="str">
            <v>K</v>
          </cell>
          <cell r="J549">
            <v>-35</v>
          </cell>
          <cell r="K549">
            <v>100</v>
          </cell>
          <cell r="L549">
            <v>100</v>
          </cell>
          <cell r="P549">
            <v>100</v>
          </cell>
          <cell r="Q549" t="str">
            <v>solicitando coleta em 04/08</v>
          </cell>
          <cell r="S549">
            <v>44046</v>
          </cell>
          <cell r="T549">
            <v>4</v>
          </cell>
        </row>
        <row r="550">
          <cell r="A550">
            <v>999931065</v>
          </cell>
          <cell r="B550" t="str">
            <v>65.111.08286-0</v>
          </cell>
          <cell r="C550" t="str">
            <v xml:space="preserve">CONJ TRAVA PORTA TRAS GABINETE RM4                  REV-00  </v>
          </cell>
          <cell r="D550" t="str">
            <v>65.110.01583-0</v>
          </cell>
          <cell r="E550" t="str">
            <v>KION IND E COM LT</v>
          </cell>
          <cell r="F550">
            <v>401</v>
          </cell>
          <cell r="G550">
            <v>44025</v>
          </cell>
          <cell r="H550">
            <v>668725</v>
          </cell>
          <cell r="I550" t="str">
            <v>K</v>
          </cell>
          <cell r="J550">
            <v>-21</v>
          </cell>
          <cell r="K550">
            <v>100</v>
          </cell>
          <cell r="L550">
            <v>100</v>
          </cell>
          <cell r="P550">
            <v>100</v>
          </cell>
          <cell r="Q550" t="str">
            <v>LASER 30/07 - FM</v>
          </cell>
          <cell r="S550">
            <v>44067</v>
          </cell>
          <cell r="T550">
            <v>7</v>
          </cell>
        </row>
        <row r="551">
          <cell r="A551">
            <v>999931066</v>
          </cell>
          <cell r="B551" t="str">
            <v>65.111.08286-0</v>
          </cell>
          <cell r="C551" t="str">
            <v xml:space="preserve">CONJ TRAVA PORTA TRAS GABINETE RM4                  REV-00  </v>
          </cell>
          <cell r="D551" t="str">
            <v>65.110.01583-0</v>
          </cell>
          <cell r="E551" t="str">
            <v>KION IND E COM LT</v>
          </cell>
          <cell r="F551">
            <v>401</v>
          </cell>
          <cell r="G551">
            <v>44025</v>
          </cell>
          <cell r="H551">
            <v>668725</v>
          </cell>
          <cell r="I551" t="str">
            <v>K</v>
          </cell>
          <cell r="J551">
            <v>-21</v>
          </cell>
          <cell r="K551">
            <v>100</v>
          </cell>
          <cell r="L551">
            <v>100</v>
          </cell>
          <cell r="P551">
            <v>100</v>
          </cell>
          <cell r="Q551" t="str">
            <v>LASER 30/07 - FM</v>
          </cell>
          <cell r="S551">
            <v>44074</v>
          </cell>
          <cell r="T551">
            <v>8</v>
          </cell>
        </row>
        <row r="552">
          <cell r="A552">
            <v>999931067</v>
          </cell>
          <cell r="B552" t="str">
            <v>65.111.08286-0</v>
          </cell>
          <cell r="C552" t="str">
            <v xml:space="preserve">CONJ TRAVA PORTA TRAS GABINETE RM4                  REV-00  </v>
          </cell>
          <cell r="D552" t="str">
            <v>65.110.01583-0</v>
          </cell>
          <cell r="E552" t="str">
            <v>KION IND E COM LT</v>
          </cell>
          <cell r="F552">
            <v>401</v>
          </cell>
          <cell r="G552">
            <v>44025</v>
          </cell>
          <cell r="H552">
            <v>668725</v>
          </cell>
          <cell r="I552" t="str">
            <v>K</v>
          </cell>
          <cell r="J552">
            <v>-21</v>
          </cell>
          <cell r="K552">
            <v>100</v>
          </cell>
          <cell r="L552">
            <v>100</v>
          </cell>
          <cell r="P552">
            <v>100</v>
          </cell>
          <cell r="Q552" t="str">
            <v>LASER 30/07 - FM</v>
          </cell>
          <cell r="S552">
            <v>44081</v>
          </cell>
          <cell r="T552">
            <v>9</v>
          </cell>
        </row>
        <row r="553">
          <cell r="A553">
            <v>999931064</v>
          </cell>
          <cell r="B553" t="str">
            <v>65.111.08286-0</v>
          </cell>
          <cell r="C553" t="str">
            <v xml:space="preserve">CONJ TRAVA PORTA TRAS GABINETE RM4                  REV-00  </v>
          </cell>
          <cell r="D553" t="str">
            <v>65.110.01583-0</v>
          </cell>
          <cell r="E553" t="str">
            <v>KION IND E COM LT</v>
          </cell>
          <cell r="F553">
            <v>401</v>
          </cell>
          <cell r="G553">
            <v>44025</v>
          </cell>
          <cell r="H553">
            <v>668725</v>
          </cell>
          <cell r="I553" t="str">
            <v>K</v>
          </cell>
          <cell r="J553">
            <v>-21</v>
          </cell>
          <cell r="K553">
            <v>100</v>
          </cell>
          <cell r="L553">
            <v>100</v>
          </cell>
          <cell r="P553">
            <v>100</v>
          </cell>
          <cell r="Q553" t="str">
            <v>material em produção - previsão de entrega até 11/08</v>
          </cell>
          <cell r="S553">
            <v>44053</v>
          </cell>
          <cell r="T553">
            <v>5</v>
          </cell>
        </row>
        <row r="554">
          <cell r="A554">
            <v>982074461</v>
          </cell>
          <cell r="B554" t="str">
            <v>65.111.08287-7</v>
          </cell>
          <cell r="C554" t="str">
            <v xml:space="preserve">ALAVANCA TRAVA RM4                                  REV-03  </v>
          </cell>
          <cell r="D554" t="str">
            <v/>
          </cell>
          <cell r="E554" t="str">
            <v>KION IND E COM LT</v>
          </cell>
          <cell r="F554">
            <v>401</v>
          </cell>
          <cell r="G554">
            <v>44081</v>
          </cell>
          <cell r="H554">
            <v>377859</v>
          </cell>
          <cell r="J554">
            <v>35</v>
          </cell>
          <cell r="K554">
            <v>250</v>
          </cell>
          <cell r="L554">
            <v>250</v>
          </cell>
          <cell r="P554">
            <v>250</v>
          </cell>
          <cell r="Q554" t="str">
            <v>OP 29/08 - JH</v>
          </cell>
          <cell r="S554">
            <v>44074</v>
          </cell>
          <cell r="T554">
            <v>8</v>
          </cell>
        </row>
        <row r="555">
          <cell r="A555">
            <v>982074462</v>
          </cell>
          <cell r="B555" t="str">
            <v>65.111.08287-7</v>
          </cell>
          <cell r="C555" t="str">
            <v xml:space="preserve">ALAVANCA TRAVA RM4                                  REV-03  </v>
          </cell>
          <cell r="D555" t="str">
            <v/>
          </cell>
          <cell r="E555" t="str">
            <v>KION IND E COM LT</v>
          </cell>
          <cell r="F555">
            <v>401</v>
          </cell>
          <cell r="G555">
            <v>44102</v>
          </cell>
          <cell r="H555">
            <v>377859</v>
          </cell>
          <cell r="J555">
            <v>56</v>
          </cell>
          <cell r="K555">
            <v>200</v>
          </cell>
          <cell r="L555">
            <v>200</v>
          </cell>
          <cell r="P555">
            <v>200</v>
          </cell>
          <cell r="Q555" t="str">
            <v/>
          </cell>
          <cell r="S555">
            <v>44095</v>
          </cell>
          <cell r="T555">
            <v>11</v>
          </cell>
        </row>
        <row r="556">
          <cell r="A556">
            <v>982074463</v>
          </cell>
          <cell r="B556" t="str">
            <v>65.111.08287-7</v>
          </cell>
          <cell r="C556" t="str">
            <v xml:space="preserve">ALAVANCA TRAVA RM4                                  REV-03  </v>
          </cell>
          <cell r="D556" t="str">
            <v/>
          </cell>
          <cell r="E556" t="str">
            <v>KION IND E COM LT</v>
          </cell>
          <cell r="F556">
            <v>401</v>
          </cell>
          <cell r="G556">
            <v>44130</v>
          </cell>
          <cell r="H556">
            <v>377859</v>
          </cell>
          <cell r="J556">
            <v>84</v>
          </cell>
          <cell r="K556">
            <v>200</v>
          </cell>
          <cell r="L556">
            <v>200</v>
          </cell>
          <cell r="P556">
            <v>200</v>
          </cell>
          <cell r="Q556" t="str">
            <v/>
          </cell>
          <cell r="S556" t="str">
            <v>DF</v>
          </cell>
          <cell r="T556" t="str">
            <v>DF</v>
          </cell>
        </row>
        <row r="557">
          <cell r="A557">
            <v>999931165</v>
          </cell>
          <cell r="B557" t="str">
            <v>65.111.08289-1</v>
          </cell>
          <cell r="C557" t="str">
            <v xml:space="preserve">MANCAL ESQUERDO EIXO RM4                            REV-00  </v>
          </cell>
          <cell r="D557" t="str">
            <v/>
          </cell>
          <cell r="E557" t="str">
            <v>KION IND E COM LT</v>
          </cell>
          <cell r="F557">
            <v>401</v>
          </cell>
          <cell r="G557">
            <v>44025</v>
          </cell>
          <cell r="H557">
            <v>668725</v>
          </cell>
          <cell r="I557" t="str">
            <v>K</v>
          </cell>
          <cell r="J557">
            <v>-21</v>
          </cell>
          <cell r="K557">
            <v>100</v>
          </cell>
          <cell r="L557">
            <v>100</v>
          </cell>
          <cell r="P557">
            <v>100</v>
          </cell>
          <cell r="Q557" t="str">
            <v>Est Ok - FM (30/07)</v>
          </cell>
          <cell r="R557" t="str">
            <v>10/08 - A</v>
          </cell>
          <cell r="S557">
            <v>44067</v>
          </cell>
          <cell r="T557">
            <v>7</v>
          </cell>
        </row>
        <row r="558">
          <cell r="A558">
            <v>999931166</v>
          </cell>
          <cell r="B558" t="str">
            <v>65.111.08289-1</v>
          </cell>
          <cell r="C558" t="str">
            <v xml:space="preserve">MANCAL ESQUERDO EIXO RM4                            REV-00  </v>
          </cell>
          <cell r="D558" t="str">
            <v/>
          </cell>
          <cell r="E558" t="str">
            <v>KION IND E COM LT</v>
          </cell>
          <cell r="F558">
            <v>401</v>
          </cell>
          <cell r="G558">
            <v>44025</v>
          </cell>
          <cell r="H558">
            <v>668725</v>
          </cell>
          <cell r="I558" t="str">
            <v>K</v>
          </cell>
          <cell r="J558">
            <v>-21</v>
          </cell>
          <cell r="K558">
            <v>100</v>
          </cell>
          <cell r="L558">
            <v>100</v>
          </cell>
          <cell r="P558">
            <v>100</v>
          </cell>
          <cell r="Q558" t="str">
            <v>ESTAMP. 30/07 - FM</v>
          </cell>
          <cell r="S558">
            <v>44074</v>
          </cell>
          <cell r="T558">
            <v>8</v>
          </cell>
        </row>
        <row r="559">
          <cell r="A559">
            <v>999931167</v>
          </cell>
          <cell r="B559" t="str">
            <v>65.111.08289-1</v>
          </cell>
          <cell r="C559" t="str">
            <v xml:space="preserve">MANCAL ESQUERDO EIXO RM4                            REV-00  </v>
          </cell>
          <cell r="D559" t="str">
            <v/>
          </cell>
          <cell r="E559" t="str">
            <v>KION IND E COM LT</v>
          </cell>
          <cell r="F559">
            <v>401</v>
          </cell>
          <cell r="G559">
            <v>44025</v>
          </cell>
          <cell r="H559">
            <v>668725</v>
          </cell>
          <cell r="I559" t="str">
            <v>K</v>
          </cell>
          <cell r="J559">
            <v>-21</v>
          </cell>
          <cell r="K559">
            <v>100</v>
          </cell>
          <cell r="L559">
            <v>100</v>
          </cell>
          <cell r="P559">
            <v>100</v>
          </cell>
          <cell r="Q559" t="str">
            <v>ESTAMP. 30/07 - FM</v>
          </cell>
          <cell r="S559">
            <v>44081</v>
          </cell>
          <cell r="T559">
            <v>9</v>
          </cell>
        </row>
        <row r="560">
          <cell r="A560">
            <v>999931168</v>
          </cell>
          <cell r="B560" t="str">
            <v>65.111.08289-1</v>
          </cell>
          <cell r="C560" t="str">
            <v xml:space="preserve">MANCAL ESQUERDO EIXO RM4                            REV-00  </v>
          </cell>
          <cell r="D560" t="str">
            <v/>
          </cell>
          <cell r="E560" t="str">
            <v>KION IND E COM LT</v>
          </cell>
          <cell r="F560">
            <v>401</v>
          </cell>
          <cell r="G560">
            <v>44025</v>
          </cell>
          <cell r="H560">
            <v>668725</v>
          </cell>
          <cell r="I560" t="str">
            <v>K</v>
          </cell>
          <cell r="J560">
            <v>-21</v>
          </cell>
          <cell r="K560">
            <v>100</v>
          </cell>
          <cell r="L560">
            <v>100</v>
          </cell>
          <cell r="P560">
            <v>100</v>
          </cell>
          <cell r="Q560" t="str">
            <v>ESTAMP. 30/07 - FM</v>
          </cell>
          <cell r="S560">
            <v>44081</v>
          </cell>
          <cell r="T560">
            <v>9</v>
          </cell>
        </row>
        <row r="561">
          <cell r="A561">
            <v>999931236</v>
          </cell>
          <cell r="B561" t="str">
            <v>65.111.08303-0</v>
          </cell>
          <cell r="C561" t="str">
            <v xml:space="preserve">GUIA CABOS GB RM4 SUPERIOR ROHS                     REV-00  </v>
          </cell>
          <cell r="D561" t="str">
            <v/>
          </cell>
          <cell r="E561" t="str">
            <v>KION IND E COM LT</v>
          </cell>
          <cell r="F561">
            <v>401</v>
          </cell>
          <cell r="G561">
            <v>43654</v>
          </cell>
          <cell r="H561">
            <v>668725</v>
          </cell>
          <cell r="I561" t="str">
            <v>K</v>
          </cell>
          <cell r="J561">
            <v>-392</v>
          </cell>
          <cell r="K561">
            <v>100</v>
          </cell>
          <cell r="L561">
            <v>100</v>
          </cell>
          <cell r="P561">
            <v>100</v>
          </cell>
          <cell r="Q561" t="str">
            <v>CANCELADO</v>
          </cell>
          <cell r="T561" t="str">
            <v>S Con</v>
          </cell>
        </row>
        <row r="562">
          <cell r="A562">
            <v>999931237</v>
          </cell>
          <cell r="B562" t="str">
            <v>65.111.08303-0</v>
          </cell>
          <cell r="C562" t="str">
            <v xml:space="preserve">GUIA CABOS GB RM4 SUPERIOR ROHS                     REV-00  </v>
          </cell>
          <cell r="D562" t="str">
            <v/>
          </cell>
          <cell r="E562" t="str">
            <v>KION IND E COM LT</v>
          </cell>
          <cell r="F562">
            <v>401</v>
          </cell>
          <cell r="G562">
            <v>43661</v>
          </cell>
          <cell r="H562">
            <v>668725</v>
          </cell>
          <cell r="I562" t="str">
            <v>K</v>
          </cell>
          <cell r="J562">
            <v>-385</v>
          </cell>
          <cell r="K562">
            <v>100</v>
          </cell>
          <cell r="L562">
            <v>100</v>
          </cell>
          <cell r="P562">
            <v>100</v>
          </cell>
          <cell r="Q562" t="str">
            <v>CANCELADO</v>
          </cell>
          <cell r="T562" t="str">
            <v>S Con</v>
          </cell>
        </row>
        <row r="563">
          <cell r="A563">
            <v>999931487</v>
          </cell>
          <cell r="B563" t="str">
            <v>65.111.08311-5</v>
          </cell>
          <cell r="C563" t="str">
            <v>SUP FIX BASE LT BIOM LUMIDIGM BB/SANTANDER  ROHS    REV-00</v>
          </cell>
          <cell r="D563" t="str">
            <v/>
          </cell>
          <cell r="E563" t="str">
            <v>KION IND E COM LT</v>
          </cell>
          <cell r="F563">
            <v>401</v>
          </cell>
          <cell r="G563">
            <v>44025</v>
          </cell>
          <cell r="H563">
            <v>668725</v>
          </cell>
          <cell r="I563" t="str">
            <v>K</v>
          </cell>
          <cell r="J563">
            <v>-21</v>
          </cell>
          <cell r="K563">
            <v>100</v>
          </cell>
          <cell r="L563">
            <v>100</v>
          </cell>
          <cell r="P563">
            <v>100</v>
          </cell>
          <cell r="Q563" t="str">
            <v>LASER 30/07 - FM</v>
          </cell>
          <cell r="S563">
            <v>44074</v>
          </cell>
          <cell r="T563">
            <v>8</v>
          </cell>
        </row>
        <row r="564">
          <cell r="A564">
            <v>999931488</v>
          </cell>
          <cell r="B564" t="str">
            <v>65.111.08311-5</v>
          </cell>
          <cell r="C564" t="str">
            <v>SUP FIX BASE LT BIOM LUMIDIGM BB/SANTANDER  ROHS    REV-00</v>
          </cell>
          <cell r="D564" t="str">
            <v/>
          </cell>
          <cell r="E564" t="str">
            <v>KION IND E COM LT</v>
          </cell>
          <cell r="F564">
            <v>401</v>
          </cell>
          <cell r="G564">
            <v>44025</v>
          </cell>
          <cell r="H564">
            <v>668725</v>
          </cell>
          <cell r="I564" t="str">
            <v>K</v>
          </cell>
          <cell r="J564">
            <v>-21</v>
          </cell>
          <cell r="K564">
            <v>100</v>
          </cell>
          <cell r="L564">
            <v>100</v>
          </cell>
          <cell r="P564">
            <v>100</v>
          </cell>
          <cell r="Q564" t="str">
            <v>LASER 30/07 - FM</v>
          </cell>
          <cell r="S564">
            <v>44081</v>
          </cell>
          <cell r="T564">
            <v>9</v>
          </cell>
        </row>
        <row r="565">
          <cell r="A565">
            <v>999931489</v>
          </cell>
          <cell r="B565" t="str">
            <v>65.111.08311-5</v>
          </cell>
          <cell r="C565" t="str">
            <v>SUP FIX BASE LT BIOM LUMIDIGM BB/SANTANDER  ROHS    REV-00</v>
          </cell>
          <cell r="D565" t="str">
            <v/>
          </cell>
          <cell r="E565" t="str">
            <v>KION IND E COM LT</v>
          </cell>
          <cell r="F565">
            <v>401</v>
          </cell>
          <cell r="G565">
            <v>44025</v>
          </cell>
          <cell r="H565">
            <v>668725</v>
          </cell>
          <cell r="I565" t="str">
            <v>K</v>
          </cell>
          <cell r="J565">
            <v>-21</v>
          </cell>
          <cell r="K565">
            <v>100</v>
          </cell>
          <cell r="L565">
            <v>100</v>
          </cell>
          <cell r="P565">
            <v>100</v>
          </cell>
          <cell r="Q565" t="str">
            <v>LASER 30/07 - FM</v>
          </cell>
          <cell r="S565">
            <v>44081</v>
          </cell>
          <cell r="T565">
            <v>9</v>
          </cell>
        </row>
        <row r="566">
          <cell r="A566">
            <v>999931564</v>
          </cell>
          <cell r="B566" t="str">
            <v>65.111.08314-6</v>
          </cell>
          <cell r="C566" t="str">
            <v xml:space="preserve">TAMPA FIX CAR CORTA VIDEO +12V ROHS                 REV-00  </v>
          </cell>
          <cell r="D566" t="str">
            <v>29-009105-000D</v>
          </cell>
          <cell r="E566" t="str">
            <v>KION IND E COM LT</v>
          </cell>
          <cell r="F566">
            <v>401</v>
          </cell>
          <cell r="G566">
            <v>44025</v>
          </cell>
          <cell r="H566">
            <v>668725</v>
          </cell>
          <cell r="I566" t="str">
            <v>K</v>
          </cell>
          <cell r="J566">
            <v>-21</v>
          </cell>
          <cell r="K566">
            <v>100</v>
          </cell>
          <cell r="L566">
            <v>100</v>
          </cell>
          <cell r="P566">
            <v>100</v>
          </cell>
          <cell r="Q566" t="str">
            <v>LASER 30/07 - FM</v>
          </cell>
          <cell r="S566">
            <v>44067</v>
          </cell>
          <cell r="T566">
            <v>7</v>
          </cell>
        </row>
        <row r="567">
          <cell r="A567">
            <v>999931565</v>
          </cell>
          <cell r="B567" t="str">
            <v>65.111.08314-6</v>
          </cell>
          <cell r="C567" t="str">
            <v xml:space="preserve">TAMPA FIX CAR CORTA VIDEO +12V ROHS                 REV-00  </v>
          </cell>
          <cell r="D567" t="str">
            <v>29-009105-000D</v>
          </cell>
          <cell r="E567" t="str">
            <v>KION IND E COM LT</v>
          </cell>
          <cell r="F567">
            <v>401</v>
          </cell>
          <cell r="G567">
            <v>44025</v>
          </cell>
          <cell r="H567">
            <v>668725</v>
          </cell>
          <cell r="I567" t="str">
            <v>K</v>
          </cell>
          <cell r="J567">
            <v>-21</v>
          </cell>
          <cell r="K567">
            <v>100</v>
          </cell>
          <cell r="L567">
            <v>100</v>
          </cell>
          <cell r="P567">
            <v>100</v>
          </cell>
          <cell r="Q567" t="str">
            <v>LASER 30/07 - FM</v>
          </cell>
          <cell r="S567">
            <v>44074</v>
          </cell>
          <cell r="T567">
            <v>8</v>
          </cell>
        </row>
        <row r="568">
          <cell r="A568">
            <v>999931566</v>
          </cell>
          <cell r="B568" t="str">
            <v>65.111.08314-6</v>
          </cell>
          <cell r="C568" t="str">
            <v xml:space="preserve">TAMPA FIX CAR CORTA VIDEO +12V ROHS                 REV-00  </v>
          </cell>
          <cell r="D568" t="str">
            <v>29-009105-000D</v>
          </cell>
          <cell r="E568" t="str">
            <v>KION IND E COM LT</v>
          </cell>
          <cell r="F568">
            <v>401</v>
          </cell>
          <cell r="G568">
            <v>44025</v>
          </cell>
          <cell r="H568">
            <v>668725</v>
          </cell>
          <cell r="I568" t="str">
            <v>K</v>
          </cell>
          <cell r="J568">
            <v>-21</v>
          </cell>
          <cell r="K568">
            <v>100</v>
          </cell>
          <cell r="L568">
            <v>100</v>
          </cell>
          <cell r="P568">
            <v>100</v>
          </cell>
          <cell r="Q568" t="str">
            <v>LASER 30/07 - FM</v>
          </cell>
          <cell r="S568">
            <v>44081</v>
          </cell>
          <cell r="T568">
            <v>9</v>
          </cell>
        </row>
        <row r="569">
          <cell r="A569">
            <v>982074551</v>
          </cell>
          <cell r="B569" t="str">
            <v>65.111.06712-2</v>
          </cell>
          <cell r="C569" t="str">
            <v xml:space="preserve">BATENTE PAIN INF ROHS                               REV-00  </v>
          </cell>
          <cell r="D569" t="str">
            <v/>
          </cell>
          <cell r="E569" t="str">
            <v>KION IND E COM LT</v>
          </cell>
          <cell r="F569">
            <v>401</v>
          </cell>
          <cell r="G569">
            <v>44046</v>
          </cell>
          <cell r="H569">
            <v>377859</v>
          </cell>
          <cell r="J569">
            <v>0</v>
          </cell>
          <cell r="K569">
            <v>150</v>
          </cell>
          <cell r="L569">
            <v>150</v>
          </cell>
          <cell r="N569">
            <v>150</v>
          </cell>
          <cell r="P569">
            <v>0</v>
          </cell>
          <cell r="Q569" t="str">
            <v>Trat. 28/07 - 243p - DIADEMA</v>
          </cell>
          <cell r="T569">
            <v>9</v>
          </cell>
        </row>
        <row r="570">
          <cell r="A570">
            <v>999931692</v>
          </cell>
          <cell r="B570" t="str">
            <v>65.111.08317-7</v>
          </cell>
          <cell r="C570" t="str">
            <v xml:space="preserve">ESP CONJUGADO C/ ALIVIO ROHS                        REV-02  </v>
          </cell>
          <cell r="D570" t="str">
            <v/>
          </cell>
          <cell r="E570" t="str">
            <v>KION IND E COM LT</v>
          </cell>
          <cell r="F570">
            <v>401</v>
          </cell>
          <cell r="G570">
            <v>44025</v>
          </cell>
          <cell r="H570">
            <v>668725</v>
          </cell>
          <cell r="I570" t="str">
            <v>K</v>
          </cell>
          <cell r="J570">
            <v>-21</v>
          </cell>
          <cell r="K570">
            <v>100</v>
          </cell>
          <cell r="L570">
            <v>100</v>
          </cell>
          <cell r="P570">
            <v>100</v>
          </cell>
          <cell r="Q570" t="str">
            <v>Trat. 11/08 - ZF</v>
          </cell>
          <cell r="S570">
            <v>44067</v>
          </cell>
          <cell r="T570">
            <v>7</v>
          </cell>
        </row>
        <row r="571">
          <cell r="A571">
            <v>982074561</v>
          </cell>
          <cell r="B571" t="str">
            <v>65.111.06715-3</v>
          </cell>
          <cell r="C571" t="str">
            <v xml:space="preserve">BATENTE PAIN SUP ROHS                               REV-00  </v>
          </cell>
          <cell r="D571" t="str">
            <v/>
          </cell>
          <cell r="E571" t="str">
            <v>KION IND E COM LT</v>
          </cell>
          <cell r="F571">
            <v>401</v>
          </cell>
          <cell r="G571">
            <v>44046</v>
          </cell>
          <cell r="H571">
            <v>377859</v>
          </cell>
          <cell r="J571">
            <v>0</v>
          </cell>
          <cell r="K571">
            <v>150</v>
          </cell>
          <cell r="L571">
            <v>150</v>
          </cell>
          <cell r="N571">
            <v>150</v>
          </cell>
          <cell r="P571">
            <v>0</v>
          </cell>
          <cell r="Q571" t="str">
            <v>Trat. 29/07 - 255p - ZF</v>
          </cell>
          <cell r="T571">
            <v>9</v>
          </cell>
        </row>
        <row r="572">
          <cell r="A572">
            <v>999931693</v>
          </cell>
          <cell r="B572" t="str">
            <v>65.111.08317-7</v>
          </cell>
          <cell r="C572" t="str">
            <v xml:space="preserve">ESP CONJUGADO C/ ALIVIO ROHS                        REV-02  </v>
          </cell>
          <cell r="D572" t="str">
            <v/>
          </cell>
          <cell r="E572" t="str">
            <v>KION IND E COM LT</v>
          </cell>
          <cell r="F572">
            <v>401</v>
          </cell>
          <cell r="G572">
            <v>44025</v>
          </cell>
          <cell r="H572">
            <v>668725</v>
          </cell>
          <cell r="I572" t="str">
            <v>K</v>
          </cell>
          <cell r="J572">
            <v>-21</v>
          </cell>
          <cell r="K572">
            <v>100</v>
          </cell>
          <cell r="L572">
            <v>100</v>
          </cell>
          <cell r="P572">
            <v>100</v>
          </cell>
          <cell r="Q572" t="str">
            <v>Trat. 11/08 - ZF</v>
          </cell>
          <cell r="S572">
            <v>44067</v>
          </cell>
          <cell r="T572">
            <v>7</v>
          </cell>
        </row>
        <row r="573">
          <cell r="A573">
            <v>999931694</v>
          </cell>
          <cell r="B573" t="str">
            <v>65.111.08317-7</v>
          </cell>
          <cell r="C573" t="str">
            <v xml:space="preserve">ESP CONJUGADO C/ ALIVIO ROHS                        REV-02  </v>
          </cell>
          <cell r="D573" t="str">
            <v/>
          </cell>
          <cell r="E573" t="str">
            <v>KION IND E COM LT</v>
          </cell>
          <cell r="F573">
            <v>401</v>
          </cell>
          <cell r="G573">
            <v>44025</v>
          </cell>
          <cell r="H573">
            <v>668725</v>
          </cell>
          <cell r="I573" t="str">
            <v>K</v>
          </cell>
          <cell r="J573">
            <v>-21</v>
          </cell>
          <cell r="K573">
            <v>100</v>
          </cell>
          <cell r="L573">
            <v>100</v>
          </cell>
          <cell r="P573">
            <v>100</v>
          </cell>
          <cell r="Q573">
            <v>0</v>
          </cell>
          <cell r="S573">
            <v>44074</v>
          </cell>
          <cell r="T573">
            <v>8</v>
          </cell>
        </row>
        <row r="574">
          <cell r="A574">
            <v>982074591</v>
          </cell>
          <cell r="B574" t="str">
            <v>65.111.06729-0</v>
          </cell>
          <cell r="C574" t="str">
            <v xml:space="preserve">SUPT ARTICULADOR PAIN INF INOX ROHS                 REV-00  </v>
          </cell>
          <cell r="D574" t="str">
            <v/>
          </cell>
          <cell r="E574" t="str">
            <v>KION IND E COM LT</v>
          </cell>
          <cell r="F574">
            <v>401</v>
          </cell>
          <cell r="G574">
            <v>44046</v>
          </cell>
          <cell r="H574">
            <v>377859</v>
          </cell>
          <cell r="J574">
            <v>0</v>
          </cell>
          <cell r="K574">
            <v>300</v>
          </cell>
          <cell r="L574">
            <v>300</v>
          </cell>
          <cell r="N574">
            <v>300</v>
          </cell>
          <cell r="P574">
            <v>0</v>
          </cell>
          <cell r="Q574" t="str">
            <v>Trat. 28/07 - 479p - DIADEMA</v>
          </cell>
          <cell r="T574">
            <v>9</v>
          </cell>
        </row>
        <row r="575">
          <cell r="A575">
            <v>999931695</v>
          </cell>
          <cell r="B575" t="str">
            <v>65.111.08317-7</v>
          </cell>
          <cell r="C575" t="str">
            <v xml:space="preserve">ESP CONJUGADO C/ ALIVIO ROHS                        REV-02  </v>
          </cell>
          <cell r="D575" t="str">
            <v/>
          </cell>
          <cell r="E575" t="str">
            <v>KION IND E COM LT</v>
          </cell>
          <cell r="F575">
            <v>401</v>
          </cell>
          <cell r="G575">
            <v>44025</v>
          </cell>
          <cell r="H575">
            <v>668725</v>
          </cell>
          <cell r="I575" t="str">
            <v>K</v>
          </cell>
          <cell r="J575">
            <v>-21</v>
          </cell>
          <cell r="K575">
            <v>100</v>
          </cell>
          <cell r="L575">
            <v>100</v>
          </cell>
          <cell r="P575">
            <v>100</v>
          </cell>
          <cell r="Q575">
            <v>0</v>
          </cell>
          <cell r="S575">
            <v>44074</v>
          </cell>
          <cell r="T575">
            <v>8</v>
          </cell>
        </row>
        <row r="576">
          <cell r="A576">
            <v>999931696</v>
          </cell>
          <cell r="B576" t="str">
            <v>65.111.08317-7</v>
          </cell>
          <cell r="C576" t="str">
            <v xml:space="preserve">ESP CONJUGADO C/ ALIVIO ROHS                        REV-02  </v>
          </cell>
          <cell r="D576" t="str">
            <v/>
          </cell>
          <cell r="E576" t="str">
            <v>KION IND E COM LT</v>
          </cell>
          <cell r="F576">
            <v>401</v>
          </cell>
          <cell r="G576">
            <v>44025</v>
          </cell>
          <cell r="H576">
            <v>668725</v>
          </cell>
          <cell r="I576" t="str">
            <v>K</v>
          </cell>
          <cell r="J576">
            <v>-21</v>
          </cell>
          <cell r="K576">
            <v>100</v>
          </cell>
          <cell r="L576">
            <v>100</v>
          </cell>
          <cell r="P576">
            <v>100</v>
          </cell>
          <cell r="Q576">
            <v>0</v>
          </cell>
          <cell r="S576">
            <v>44074</v>
          </cell>
          <cell r="T576">
            <v>8</v>
          </cell>
        </row>
        <row r="577">
          <cell r="A577">
            <v>999931697</v>
          </cell>
          <cell r="B577" t="str">
            <v>65.111.08317-7</v>
          </cell>
          <cell r="C577" t="str">
            <v xml:space="preserve">ESP CONJUGADO C/ ALIVIO ROHS                        REV-02  </v>
          </cell>
          <cell r="D577" t="str">
            <v/>
          </cell>
          <cell r="E577" t="str">
            <v>KION IND E COM LT</v>
          </cell>
          <cell r="F577">
            <v>401</v>
          </cell>
          <cell r="G577">
            <v>44025</v>
          </cell>
          <cell r="H577">
            <v>668725</v>
          </cell>
          <cell r="I577" t="str">
            <v>K</v>
          </cell>
          <cell r="J577">
            <v>-21</v>
          </cell>
          <cell r="K577">
            <v>100</v>
          </cell>
          <cell r="L577">
            <v>100</v>
          </cell>
          <cell r="P577">
            <v>100</v>
          </cell>
          <cell r="Q577">
            <v>0</v>
          </cell>
          <cell r="S577">
            <v>44081</v>
          </cell>
          <cell r="T577">
            <v>9</v>
          </cell>
        </row>
        <row r="578">
          <cell r="A578">
            <v>999931698</v>
          </cell>
          <cell r="B578" t="str">
            <v>65.111.08317-7</v>
          </cell>
          <cell r="C578" t="str">
            <v xml:space="preserve">ESP CONJUGADO C/ ALIVIO ROHS                        REV-02  </v>
          </cell>
          <cell r="D578" t="str">
            <v/>
          </cell>
          <cell r="E578" t="str">
            <v>KION IND E COM LT</v>
          </cell>
          <cell r="F578">
            <v>401</v>
          </cell>
          <cell r="G578">
            <v>44039</v>
          </cell>
          <cell r="H578">
            <v>668725</v>
          </cell>
          <cell r="I578" t="str">
            <v>K</v>
          </cell>
          <cell r="J578">
            <v>-7</v>
          </cell>
          <cell r="K578">
            <v>100</v>
          </cell>
          <cell r="L578">
            <v>100</v>
          </cell>
          <cell r="P578">
            <v>100</v>
          </cell>
          <cell r="Q578" t="str">
            <v/>
          </cell>
          <cell r="S578">
            <v>44081</v>
          </cell>
          <cell r="T578">
            <v>9</v>
          </cell>
        </row>
        <row r="579">
          <cell r="A579">
            <v>999931690</v>
          </cell>
          <cell r="B579" t="str">
            <v>65.111.08317-7</v>
          </cell>
          <cell r="C579" t="str">
            <v xml:space="preserve">ESP CONJUGADO C/ ALIVIO ROHS                        REV-02  </v>
          </cell>
          <cell r="D579" t="str">
            <v/>
          </cell>
          <cell r="E579" t="str">
            <v>KION IND E COM LT</v>
          </cell>
          <cell r="F579">
            <v>401</v>
          </cell>
          <cell r="G579">
            <v>44011</v>
          </cell>
          <cell r="H579">
            <v>668725</v>
          </cell>
          <cell r="I579" t="str">
            <v>K</v>
          </cell>
          <cell r="J579">
            <v>-35</v>
          </cell>
          <cell r="K579">
            <v>100</v>
          </cell>
          <cell r="L579">
            <v>100</v>
          </cell>
          <cell r="P579">
            <v>100</v>
          </cell>
          <cell r="Q579" t="str">
            <v>Trat. 11/08 - 425p - ZF</v>
          </cell>
          <cell r="S579">
            <v>44053</v>
          </cell>
          <cell r="T579">
            <v>5</v>
          </cell>
        </row>
        <row r="580">
          <cell r="A580">
            <v>999931691</v>
          </cell>
          <cell r="B580" t="str">
            <v>65.111.08317-7</v>
          </cell>
          <cell r="C580" t="str">
            <v xml:space="preserve">ESP CONJUGADO C/ ALIVIO ROHS                        REV-02  </v>
          </cell>
          <cell r="D580" t="str">
            <v/>
          </cell>
          <cell r="E580" t="str">
            <v>KION IND E COM LT</v>
          </cell>
          <cell r="F580">
            <v>401</v>
          </cell>
          <cell r="G580">
            <v>44025</v>
          </cell>
          <cell r="H580">
            <v>668725</v>
          </cell>
          <cell r="I580" t="str">
            <v>K</v>
          </cell>
          <cell r="J580">
            <v>-21</v>
          </cell>
          <cell r="K580">
            <v>100</v>
          </cell>
          <cell r="L580">
            <v>100</v>
          </cell>
          <cell r="P580">
            <v>100</v>
          </cell>
          <cell r="Q580" t="str">
            <v>Trat. 11/08 - ZF</v>
          </cell>
          <cell r="S580">
            <v>44053</v>
          </cell>
          <cell r="T580">
            <v>5</v>
          </cell>
        </row>
        <row r="581">
          <cell r="A581">
            <v>982070081</v>
          </cell>
          <cell r="B581" t="str">
            <v>65.111.08319-1</v>
          </cell>
          <cell r="C581" t="str">
            <v xml:space="preserve">SUPORTE CAIXA PLASTICA MESH BB2017 RM4H             REV-00  </v>
          </cell>
          <cell r="D581" t="str">
            <v/>
          </cell>
          <cell r="E581" t="str">
            <v>KION IND E COM LT</v>
          </cell>
          <cell r="F581">
            <v>401</v>
          </cell>
          <cell r="G581">
            <v>44060</v>
          </cell>
          <cell r="H581">
            <v>377859</v>
          </cell>
          <cell r="J581">
            <v>14</v>
          </cell>
          <cell r="K581">
            <v>350</v>
          </cell>
          <cell r="L581">
            <v>350</v>
          </cell>
          <cell r="P581">
            <v>350</v>
          </cell>
          <cell r="Q581" t="str">
            <v>coleta solicitada em 03/08</v>
          </cell>
          <cell r="S581">
            <v>44046</v>
          </cell>
          <cell r="T581">
            <v>4</v>
          </cell>
        </row>
        <row r="582">
          <cell r="A582">
            <v>982070082</v>
          </cell>
          <cell r="B582" t="str">
            <v>65.111.08319-1</v>
          </cell>
          <cell r="C582" t="str">
            <v xml:space="preserve">SUPORTE CAIXA PLASTICA MESH BB2017 RM4H             REV-00  </v>
          </cell>
          <cell r="D582" t="str">
            <v/>
          </cell>
          <cell r="E582" t="str">
            <v>KION IND E COM LT</v>
          </cell>
          <cell r="F582">
            <v>401</v>
          </cell>
          <cell r="G582">
            <v>44081</v>
          </cell>
          <cell r="H582">
            <v>377859</v>
          </cell>
          <cell r="J582">
            <v>35</v>
          </cell>
          <cell r="K582">
            <v>300</v>
          </cell>
          <cell r="L582">
            <v>300</v>
          </cell>
          <cell r="P582">
            <v>300</v>
          </cell>
          <cell r="Q582" t="str">
            <v/>
          </cell>
          <cell r="S582">
            <v>44081</v>
          </cell>
          <cell r="T582">
            <v>9</v>
          </cell>
        </row>
        <row r="583">
          <cell r="A583">
            <v>982082861</v>
          </cell>
          <cell r="B583" t="str">
            <v>65.111.08319-1</v>
          </cell>
          <cell r="C583" t="str">
            <v xml:space="preserve">SUPORTE CAIXA PLASTICA MESH BB2017 RM4H             REV-00  </v>
          </cell>
          <cell r="D583" t="str">
            <v/>
          </cell>
          <cell r="E583" t="str">
            <v>KION IND E COM LT</v>
          </cell>
          <cell r="F583">
            <v>401</v>
          </cell>
          <cell r="G583">
            <v>44116</v>
          </cell>
          <cell r="H583">
            <v>377860</v>
          </cell>
          <cell r="J583">
            <v>70</v>
          </cell>
          <cell r="K583">
            <v>100</v>
          </cell>
          <cell r="L583">
            <v>100</v>
          </cell>
          <cell r="P583">
            <v>100</v>
          </cell>
          <cell r="Q583" t="str">
            <v/>
          </cell>
          <cell r="S583">
            <v>44102</v>
          </cell>
          <cell r="T583">
            <v>12</v>
          </cell>
        </row>
        <row r="584">
          <cell r="A584">
            <v>999931791</v>
          </cell>
          <cell r="B584" t="str">
            <v>65.111.08330-6</v>
          </cell>
          <cell r="C584" t="str">
            <v xml:space="preserve">SUP STOP PUSH BUTTON RM4H UPR                       REV-00  </v>
          </cell>
          <cell r="D584" t="str">
            <v/>
          </cell>
          <cell r="E584" t="str">
            <v>KION IND E COM LT</v>
          </cell>
          <cell r="F584">
            <v>401</v>
          </cell>
          <cell r="G584">
            <v>44025</v>
          </cell>
          <cell r="H584">
            <v>668725</v>
          </cell>
          <cell r="I584" t="str">
            <v>K</v>
          </cell>
          <cell r="J584">
            <v>-21</v>
          </cell>
          <cell r="K584">
            <v>100</v>
          </cell>
          <cell r="L584">
            <v>100</v>
          </cell>
          <cell r="P584">
            <v>100</v>
          </cell>
          <cell r="Q584" t="str">
            <v>Trat. 11/08 - ZF</v>
          </cell>
          <cell r="S584">
            <v>44067</v>
          </cell>
          <cell r="T584">
            <v>7</v>
          </cell>
        </row>
        <row r="585">
          <cell r="A585">
            <v>999931792</v>
          </cell>
          <cell r="B585" t="str">
            <v>65.111.08330-6</v>
          </cell>
          <cell r="C585" t="str">
            <v xml:space="preserve">SUP STOP PUSH BUTTON RM4H UPR                       REV-00  </v>
          </cell>
          <cell r="D585" t="str">
            <v/>
          </cell>
          <cell r="E585" t="str">
            <v>KION IND E COM LT</v>
          </cell>
          <cell r="F585">
            <v>401</v>
          </cell>
          <cell r="G585">
            <v>44025</v>
          </cell>
          <cell r="H585">
            <v>668725</v>
          </cell>
          <cell r="I585" t="str">
            <v>K</v>
          </cell>
          <cell r="J585">
            <v>-21</v>
          </cell>
          <cell r="K585">
            <v>100</v>
          </cell>
          <cell r="L585">
            <v>100</v>
          </cell>
          <cell r="P585">
            <v>100</v>
          </cell>
          <cell r="Q585" t="str">
            <v>Trat. 11/08 - ZF</v>
          </cell>
          <cell r="S585">
            <v>44067</v>
          </cell>
          <cell r="T585">
            <v>7</v>
          </cell>
        </row>
        <row r="586">
          <cell r="A586">
            <v>999931793</v>
          </cell>
          <cell r="B586" t="str">
            <v>65.111.08330-6</v>
          </cell>
          <cell r="C586" t="str">
            <v xml:space="preserve">SUP STOP PUSH BUTTON RM4H UPR                       REV-00  </v>
          </cell>
          <cell r="D586" t="str">
            <v/>
          </cell>
          <cell r="E586" t="str">
            <v>KION IND E COM LT</v>
          </cell>
          <cell r="F586">
            <v>401</v>
          </cell>
          <cell r="G586">
            <v>44025</v>
          </cell>
          <cell r="H586">
            <v>668725</v>
          </cell>
          <cell r="I586" t="str">
            <v>K</v>
          </cell>
          <cell r="J586">
            <v>-21</v>
          </cell>
          <cell r="K586">
            <v>100</v>
          </cell>
          <cell r="L586">
            <v>100</v>
          </cell>
          <cell r="P586">
            <v>100</v>
          </cell>
          <cell r="Q586" t="str">
            <v>Trat. 11/08 - ZF</v>
          </cell>
          <cell r="S586">
            <v>44074</v>
          </cell>
          <cell r="T586">
            <v>8</v>
          </cell>
        </row>
        <row r="587">
          <cell r="A587">
            <v>999931794</v>
          </cell>
          <cell r="B587" t="str">
            <v>65.111.08330-6</v>
          </cell>
          <cell r="C587" t="str">
            <v xml:space="preserve">SUP STOP PUSH BUTTON RM4H UPR                       REV-00  </v>
          </cell>
          <cell r="D587" t="str">
            <v/>
          </cell>
          <cell r="E587" t="str">
            <v>KION IND E COM LT</v>
          </cell>
          <cell r="F587">
            <v>401</v>
          </cell>
          <cell r="G587">
            <v>44025</v>
          </cell>
          <cell r="H587">
            <v>668725</v>
          </cell>
          <cell r="I587" t="str">
            <v>K</v>
          </cell>
          <cell r="J587">
            <v>-21</v>
          </cell>
          <cell r="K587">
            <v>100</v>
          </cell>
          <cell r="L587">
            <v>100</v>
          </cell>
          <cell r="P587">
            <v>100</v>
          </cell>
          <cell r="Q587" t="str">
            <v>Trat. 11/08 - ZF</v>
          </cell>
          <cell r="S587">
            <v>44074</v>
          </cell>
          <cell r="T587">
            <v>8</v>
          </cell>
        </row>
        <row r="588">
          <cell r="A588">
            <v>999931795</v>
          </cell>
          <cell r="B588" t="str">
            <v>65.111.08330-6</v>
          </cell>
          <cell r="C588" t="str">
            <v xml:space="preserve">SUP STOP PUSH BUTTON RM4H UPR                       REV-00  </v>
          </cell>
          <cell r="D588" t="str">
            <v/>
          </cell>
          <cell r="E588" t="str">
            <v>KION IND E COM LT</v>
          </cell>
          <cell r="F588">
            <v>401</v>
          </cell>
          <cell r="G588">
            <v>44025</v>
          </cell>
          <cell r="H588">
            <v>668725</v>
          </cell>
          <cell r="I588" t="str">
            <v>K</v>
          </cell>
          <cell r="J588">
            <v>-21</v>
          </cell>
          <cell r="K588">
            <v>100</v>
          </cell>
          <cell r="L588">
            <v>100</v>
          </cell>
          <cell r="P588">
            <v>100</v>
          </cell>
          <cell r="Q588" t="str">
            <v>Trat. 11/08 - ZF</v>
          </cell>
          <cell r="S588">
            <v>44074</v>
          </cell>
          <cell r="T588">
            <v>8</v>
          </cell>
        </row>
        <row r="589">
          <cell r="A589">
            <v>999931796</v>
          </cell>
          <cell r="B589" t="str">
            <v>65.111.08330-6</v>
          </cell>
          <cell r="C589" t="str">
            <v xml:space="preserve">SUP STOP PUSH BUTTON RM4H UPR                       REV-00  </v>
          </cell>
          <cell r="D589" t="str">
            <v/>
          </cell>
          <cell r="E589" t="str">
            <v>KION IND E COM LT</v>
          </cell>
          <cell r="F589">
            <v>401</v>
          </cell>
          <cell r="G589">
            <v>44025</v>
          </cell>
          <cell r="H589">
            <v>668725</v>
          </cell>
          <cell r="I589" t="str">
            <v>K</v>
          </cell>
          <cell r="J589">
            <v>-21</v>
          </cell>
          <cell r="K589">
            <v>100</v>
          </cell>
          <cell r="L589">
            <v>100</v>
          </cell>
          <cell r="P589">
            <v>100</v>
          </cell>
          <cell r="Q589" t="str">
            <v>LASER 30/07 - FM</v>
          </cell>
          <cell r="S589">
            <v>44081</v>
          </cell>
          <cell r="T589">
            <v>9</v>
          </cell>
        </row>
        <row r="590">
          <cell r="A590">
            <v>999931790</v>
          </cell>
          <cell r="B590" t="str">
            <v>65.111.08330-6</v>
          </cell>
          <cell r="C590" t="str">
            <v xml:space="preserve">SUP STOP PUSH BUTTON RM4H UPR                       REV-00  </v>
          </cell>
          <cell r="D590" t="str">
            <v/>
          </cell>
          <cell r="E590" t="str">
            <v>KION IND E COM LT</v>
          </cell>
          <cell r="F590">
            <v>401</v>
          </cell>
          <cell r="G590">
            <v>44025</v>
          </cell>
          <cell r="H590">
            <v>668725</v>
          </cell>
          <cell r="I590" t="str">
            <v>K</v>
          </cell>
          <cell r="J590">
            <v>-21</v>
          </cell>
          <cell r="K590">
            <v>100</v>
          </cell>
          <cell r="L590">
            <v>100</v>
          </cell>
          <cell r="P590">
            <v>100</v>
          </cell>
          <cell r="Q590" t="str">
            <v>Trat. 11/08 - 670p - ZF</v>
          </cell>
          <cell r="S590">
            <v>44053</v>
          </cell>
          <cell r="T590">
            <v>5</v>
          </cell>
        </row>
        <row r="591">
          <cell r="A591">
            <v>999931991</v>
          </cell>
          <cell r="B591" t="str">
            <v>65.111.08331-3</v>
          </cell>
          <cell r="C591" t="str">
            <v xml:space="preserve">SUP FIX PUSH BUTTON RM4H LWR                        REV-00  </v>
          </cell>
          <cell r="D591" t="str">
            <v/>
          </cell>
          <cell r="E591" t="str">
            <v>KION IND E COM LT</v>
          </cell>
          <cell r="F591">
            <v>401</v>
          </cell>
          <cell r="G591">
            <v>44025</v>
          </cell>
          <cell r="H591">
            <v>668725</v>
          </cell>
          <cell r="I591" t="str">
            <v>K</v>
          </cell>
          <cell r="J591">
            <v>-21</v>
          </cell>
          <cell r="K591">
            <v>100</v>
          </cell>
          <cell r="L591">
            <v>100</v>
          </cell>
          <cell r="P591">
            <v>100</v>
          </cell>
          <cell r="Q591" t="str">
            <v>Trat. 07/08 - DIADEMA</v>
          </cell>
          <cell r="S591">
            <v>44067</v>
          </cell>
          <cell r="T591">
            <v>7</v>
          </cell>
        </row>
        <row r="592">
          <cell r="A592">
            <v>999931992</v>
          </cell>
          <cell r="B592" t="str">
            <v>65.111.08331-3</v>
          </cell>
          <cell r="C592" t="str">
            <v xml:space="preserve">SUP FIX PUSH BUTTON RM4H LWR                        REV-00  </v>
          </cell>
          <cell r="D592" t="str">
            <v/>
          </cell>
          <cell r="E592" t="str">
            <v>KION IND E COM LT</v>
          </cell>
          <cell r="F592">
            <v>401</v>
          </cell>
          <cell r="G592">
            <v>44025</v>
          </cell>
          <cell r="H592">
            <v>668725</v>
          </cell>
          <cell r="I592" t="str">
            <v>K</v>
          </cell>
          <cell r="J592">
            <v>-21</v>
          </cell>
          <cell r="K592">
            <v>100</v>
          </cell>
          <cell r="L592">
            <v>100</v>
          </cell>
          <cell r="P592">
            <v>100</v>
          </cell>
          <cell r="Q592" t="str">
            <v>Trat. 07/08 - DIADEMA</v>
          </cell>
          <cell r="S592">
            <v>44067</v>
          </cell>
          <cell r="T592">
            <v>7</v>
          </cell>
        </row>
        <row r="593">
          <cell r="A593">
            <v>999931993</v>
          </cell>
          <cell r="B593" t="str">
            <v>65.111.08331-3</v>
          </cell>
          <cell r="C593" t="str">
            <v xml:space="preserve">SUP FIX PUSH BUTTON RM4H LWR                        REV-00  </v>
          </cell>
          <cell r="D593" t="str">
            <v/>
          </cell>
          <cell r="E593" t="str">
            <v>KION IND E COM LT</v>
          </cell>
          <cell r="F593">
            <v>401</v>
          </cell>
          <cell r="G593">
            <v>44025</v>
          </cell>
          <cell r="H593">
            <v>668725</v>
          </cell>
          <cell r="I593" t="str">
            <v>K</v>
          </cell>
          <cell r="J593">
            <v>-21</v>
          </cell>
          <cell r="K593">
            <v>100</v>
          </cell>
          <cell r="L593">
            <v>100</v>
          </cell>
          <cell r="P593">
            <v>100</v>
          </cell>
          <cell r="Q593" t="str">
            <v>Trat. 07/08 - DIADEMA</v>
          </cell>
          <cell r="S593">
            <v>44074</v>
          </cell>
          <cell r="T593">
            <v>8</v>
          </cell>
        </row>
        <row r="594">
          <cell r="A594">
            <v>999931994</v>
          </cell>
          <cell r="B594" t="str">
            <v>65.111.08331-3</v>
          </cell>
          <cell r="C594" t="str">
            <v xml:space="preserve">SUP FIX PUSH BUTTON RM4H LWR                        REV-00  </v>
          </cell>
          <cell r="D594" t="str">
            <v/>
          </cell>
          <cell r="E594" t="str">
            <v>KION IND E COM LT</v>
          </cell>
          <cell r="F594">
            <v>401</v>
          </cell>
          <cell r="G594">
            <v>44025</v>
          </cell>
          <cell r="H594">
            <v>668725</v>
          </cell>
          <cell r="I594" t="str">
            <v>K</v>
          </cell>
          <cell r="J594">
            <v>-21</v>
          </cell>
          <cell r="K594">
            <v>100</v>
          </cell>
          <cell r="L594">
            <v>100</v>
          </cell>
          <cell r="P594">
            <v>100</v>
          </cell>
          <cell r="Q594" t="str">
            <v>Trat. 07/08 - DIADEMA</v>
          </cell>
          <cell r="S594">
            <v>44074</v>
          </cell>
          <cell r="T594">
            <v>8</v>
          </cell>
        </row>
        <row r="595">
          <cell r="A595">
            <v>982074491</v>
          </cell>
          <cell r="B595" t="str">
            <v>65.111.07362-6</v>
          </cell>
          <cell r="C595" t="str">
            <v xml:space="preserve">GUIA HASTE TRAV PNL SUPERIOR DCASH ROHS             REV-01  </v>
          </cell>
          <cell r="D595" t="str">
            <v/>
          </cell>
          <cell r="E595" t="str">
            <v>KION IND E COM LT</v>
          </cell>
          <cell r="F595">
            <v>401</v>
          </cell>
          <cell r="G595">
            <v>44046</v>
          </cell>
          <cell r="H595">
            <v>377859</v>
          </cell>
          <cell r="J595">
            <v>0</v>
          </cell>
          <cell r="K595">
            <v>150</v>
          </cell>
          <cell r="L595">
            <v>150</v>
          </cell>
          <cell r="N595">
            <v>150</v>
          </cell>
          <cell r="P595">
            <v>0</v>
          </cell>
          <cell r="Q595" t="str">
            <v>Trat. 28/07 - 249p - DIADEMA</v>
          </cell>
          <cell r="T595">
            <v>9</v>
          </cell>
        </row>
        <row r="596">
          <cell r="A596">
            <v>999931995</v>
          </cell>
          <cell r="B596" t="str">
            <v>65.111.08331-3</v>
          </cell>
          <cell r="C596" t="str">
            <v xml:space="preserve">SUP FIX PUSH BUTTON RM4H LWR                        REV-00  </v>
          </cell>
          <cell r="D596" t="str">
            <v/>
          </cell>
          <cell r="E596" t="str">
            <v>KION IND E COM LT</v>
          </cell>
          <cell r="F596">
            <v>401</v>
          </cell>
          <cell r="G596">
            <v>44025</v>
          </cell>
          <cell r="H596">
            <v>668725</v>
          </cell>
          <cell r="I596" t="str">
            <v>K</v>
          </cell>
          <cell r="J596">
            <v>-21</v>
          </cell>
          <cell r="K596">
            <v>100</v>
          </cell>
          <cell r="L596">
            <v>100</v>
          </cell>
          <cell r="P596">
            <v>100</v>
          </cell>
          <cell r="Q596" t="str">
            <v>Trat. 07/08 - DIADEMA</v>
          </cell>
          <cell r="S596">
            <v>44074</v>
          </cell>
          <cell r="T596">
            <v>8</v>
          </cell>
        </row>
        <row r="597">
          <cell r="A597">
            <v>999931996</v>
          </cell>
          <cell r="B597" t="str">
            <v>65.111.08331-3</v>
          </cell>
          <cell r="C597" t="str">
            <v xml:space="preserve">SUP FIX PUSH BUTTON RM4H LWR                        REV-00  </v>
          </cell>
          <cell r="D597" t="str">
            <v/>
          </cell>
          <cell r="E597" t="str">
            <v>KION IND E COM LT</v>
          </cell>
          <cell r="F597">
            <v>401</v>
          </cell>
          <cell r="G597">
            <v>44025</v>
          </cell>
          <cell r="H597">
            <v>668725</v>
          </cell>
          <cell r="I597" t="str">
            <v>K</v>
          </cell>
          <cell r="J597">
            <v>-21</v>
          </cell>
          <cell r="K597">
            <v>100</v>
          </cell>
          <cell r="L597">
            <v>100</v>
          </cell>
          <cell r="P597">
            <v>100</v>
          </cell>
          <cell r="Q597" t="str">
            <v>Trat. 07/08 - DIADEMA</v>
          </cell>
          <cell r="S597">
            <v>44081</v>
          </cell>
          <cell r="T597">
            <v>9</v>
          </cell>
        </row>
        <row r="598">
          <cell r="A598">
            <v>999931997</v>
          </cell>
          <cell r="B598" t="str">
            <v>65.111.08331-3</v>
          </cell>
          <cell r="C598" t="str">
            <v xml:space="preserve">SUP FIX PUSH BUTTON RM4H LWR                        REV-00  </v>
          </cell>
          <cell r="D598" t="str">
            <v/>
          </cell>
          <cell r="E598" t="str">
            <v>KION IND E COM LT</v>
          </cell>
          <cell r="F598">
            <v>401</v>
          </cell>
          <cell r="G598">
            <v>44039</v>
          </cell>
          <cell r="H598">
            <v>668725</v>
          </cell>
          <cell r="I598" t="str">
            <v>K</v>
          </cell>
          <cell r="J598">
            <v>-7</v>
          </cell>
          <cell r="K598">
            <v>100</v>
          </cell>
          <cell r="L598">
            <v>100</v>
          </cell>
          <cell r="P598">
            <v>100</v>
          </cell>
          <cell r="Q598" t="str">
            <v/>
          </cell>
          <cell r="S598">
            <v>44081</v>
          </cell>
          <cell r="T598">
            <v>9</v>
          </cell>
        </row>
        <row r="599">
          <cell r="A599">
            <v>999931990</v>
          </cell>
          <cell r="B599" t="str">
            <v>65.111.08331-3</v>
          </cell>
          <cell r="C599" t="str">
            <v xml:space="preserve">SUP FIX PUSH BUTTON RM4H LWR                        REV-00  </v>
          </cell>
          <cell r="D599" t="str">
            <v/>
          </cell>
          <cell r="E599" t="str">
            <v>KION IND E COM LT</v>
          </cell>
          <cell r="F599">
            <v>401</v>
          </cell>
          <cell r="G599">
            <v>44025</v>
          </cell>
          <cell r="H599">
            <v>668725</v>
          </cell>
          <cell r="I599" t="str">
            <v>K</v>
          </cell>
          <cell r="J599">
            <v>-21</v>
          </cell>
          <cell r="K599">
            <v>100</v>
          </cell>
          <cell r="L599">
            <v>100</v>
          </cell>
          <cell r="P599">
            <v>100</v>
          </cell>
          <cell r="Q599" t="str">
            <v>Trat. 07/08 - 710p - DIADEMA</v>
          </cell>
          <cell r="S599">
            <v>44053</v>
          </cell>
          <cell r="T599">
            <v>5</v>
          </cell>
        </row>
        <row r="600">
          <cell r="A600">
            <v>982035161</v>
          </cell>
          <cell r="B600" t="str">
            <v>65.111.07392-3</v>
          </cell>
          <cell r="C600" t="str">
            <v>SUPT LIMITADOR PORTA 1/2" CF DCASH ROHS             REV-00</v>
          </cell>
          <cell r="D600" t="str">
            <v/>
          </cell>
          <cell r="E600" t="str">
            <v>KION IND E COM LT</v>
          </cell>
          <cell r="F600">
            <v>401</v>
          </cell>
          <cell r="G600">
            <v>44039</v>
          </cell>
          <cell r="H600">
            <v>377859</v>
          </cell>
          <cell r="J600">
            <v>0</v>
          </cell>
          <cell r="K600">
            <v>250</v>
          </cell>
          <cell r="L600">
            <v>250</v>
          </cell>
          <cell r="N600">
            <v>250</v>
          </cell>
          <cell r="P600">
            <v>0</v>
          </cell>
          <cell r="Q600" t="str">
            <v>Trat. 28/07 - 353p - DIADEMA</v>
          </cell>
          <cell r="T600">
            <v>9</v>
          </cell>
        </row>
        <row r="601">
          <cell r="A601">
            <v>999932192</v>
          </cell>
          <cell r="B601" t="str">
            <v>65.111.08335-1</v>
          </cell>
          <cell r="C601" t="str">
            <v xml:space="preserve">TRAVA DA PORTA K7 ENTINT RECICL RM4H BB 2017        REV-02  </v>
          </cell>
          <cell r="D601" t="str">
            <v/>
          </cell>
          <cell r="E601" t="str">
            <v>KION IND E COM LT</v>
          </cell>
          <cell r="F601">
            <v>401</v>
          </cell>
          <cell r="G601">
            <v>44011</v>
          </cell>
          <cell r="H601">
            <v>668725</v>
          </cell>
          <cell r="I601" t="str">
            <v>K</v>
          </cell>
          <cell r="J601">
            <v>-35</v>
          </cell>
          <cell r="K601">
            <v>100</v>
          </cell>
          <cell r="L601">
            <v>100</v>
          </cell>
          <cell r="P601">
            <v>100</v>
          </cell>
          <cell r="Q601" t="str">
            <v>Trat. 11/08 - 314p - ZF</v>
          </cell>
          <cell r="S601">
            <v>44046</v>
          </cell>
          <cell r="T601">
            <v>4</v>
          </cell>
        </row>
        <row r="602">
          <cell r="A602">
            <v>999932195</v>
          </cell>
          <cell r="B602" t="str">
            <v>65.111.08335-1</v>
          </cell>
          <cell r="C602" t="str">
            <v xml:space="preserve">TRAVA DA PORTA K7 ENTINT RECICL RM4H BB 2017        REV-02  </v>
          </cell>
          <cell r="D602" t="str">
            <v/>
          </cell>
          <cell r="E602" t="str">
            <v>KION IND E COM LT</v>
          </cell>
          <cell r="F602">
            <v>401</v>
          </cell>
          <cell r="G602">
            <v>44025</v>
          </cell>
          <cell r="H602">
            <v>668725</v>
          </cell>
          <cell r="I602" t="str">
            <v>K</v>
          </cell>
          <cell r="J602">
            <v>-21</v>
          </cell>
          <cell r="K602">
            <v>100</v>
          </cell>
          <cell r="L602">
            <v>100</v>
          </cell>
          <cell r="P602">
            <v>100</v>
          </cell>
          <cell r="Q602" t="str">
            <v>Trat. 12/08 - DIADEMA</v>
          </cell>
          <cell r="S602">
            <v>44067</v>
          </cell>
          <cell r="T602">
            <v>7</v>
          </cell>
        </row>
        <row r="603">
          <cell r="A603">
            <v>999932196</v>
          </cell>
          <cell r="B603" t="str">
            <v>65.111.08335-1</v>
          </cell>
          <cell r="C603" t="str">
            <v xml:space="preserve">TRAVA DA PORTA K7 ENTINT RECICL RM4H BB 2017        REV-02  </v>
          </cell>
          <cell r="D603" t="str">
            <v/>
          </cell>
          <cell r="E603" t="str">
            <v>KION IND E COM LT</v>
          </cell>
          <cell r="F603">
            <v>401</v>
          </cell>
          <cell r="G603">
            <v>44025</v>
          </cell>
          <cell r="H603">
            <v>668725</v>
          </cell>
          <cell r="I603" t="str">
            <v>K</v>
          </cell>
          <cell r="J603">
            <v>-21</v>
          </cell>
          <cell r="K603">
            <v>100</v>
          </cell>
          <cell r="L603">
            <v>100</v>
          </cell>
          <cell r="P603">
            <v>100</v>
          </cell>
          <cell r="Q603" t="str">
            <v>Trat. 12/08 - DIADEMA</v>
          </cell>
          <cell r="S603">
            <v>44067</v>
          </cell>
          <cell r="T603">
            <v>7</v>
          </cell>
        </row>
        <row r="604">
          <cell r="A604">
            <v>999932197</v>
          </cell>
          <cell r="B604" t="str">
            <v>65.111.08335-1</v>
          </cell>
          <cell r="C604" t="str">
            <v xml:space="preserve">TRAVA DA PORTA K7 ENTINT RECICL RM4H BB 2017        REV-02  </v>
          </cell>
          <cell r="D604" t="str">
            <v/>
          </cell>
          <cell r="E604" t="str">
            <v>KION IND E COM LT</v>
          </cell>
          <cell r="F604">
            <v>401</v>
          </cell>
          <cell r="G604">
            <v>44025</v>
          </cell>
          <cell r="H604">
            <v>668725</v>
          </cell>
          <cell r="I604" t="str">
            <v>K</v>
          </cell>
          <cell r="J604">
            <v>-21</v>
          </cell>
          <cell r="K604">
            <v>100</v>
          </cell>
          <cell r="L604">
            <v>100</v>
          </cell>
          <cell r="P604">
            <v>100</v>
          </cell>
          <cell r="Q604" t="str">
            <v>Trat. 12/08 - 600p - DIADEMA</v>
          </cell>
          <cell r="S604">
            <v>44074</v>
          </cell>
          <cell r="T604">
            <v>8</v>
          </cell>
        </row>
        <row r="605">
          <cell r="A605">
            <v>999932198</v>
          </cell>
          <cell r="B605" t="str">
            <v>65.111.08335-1</v>
          </cell>
          <cell r="C605" t="str">
            <v xml:space="preserve">TRAVA DA PORTA K7 ENTINT RECICL RM4H BB 2017        REV-02  </v>
          </cell>
          <cell r="D605" t="str">
            <v/>
          </cell>
          <cell r="E605" t="str">
            <v>KION IND E COM LT</v>
          </cell>
          <cell r="F605">
            <v>401</v>
          </cell>
          <cell r="G605">
            <v>44025</v>
          </cell>
          <cell r="H605">
            <v>668725</v>
          </cell>
          <cell r="I605" t="str">
            <v>K</v>
          </cell>
          <cell r="J605">
            <v>-21</v>
          </cell>
          <cell r="K605">
            <v>100</v>
          </cell>
          <cell r="L605">
            <v>100</v>
          </cell>
          <cell r="P605">
            <v>100</v>
          </cell>
          <cell r="Q605" t="str">
            <v>Trat. 12/08 - DIADEMA</v>
          </cell>
          <cell r="S605">
            <v>44074</v>
          </cell>
          <cell r="T605">
            <v>8</v>
          </cell>
        </row>
        <row r="606">
          <cell r="A606">
            <v>999932199</v>
          </cell>
          <cell r="B606" t="str">
            <v>65.111.08335-1</v>
          </cell>
          <cell r="C606" t="str">
            <v xml:space="preserve">TRAVA DA PORTA K7 ENTINT RECICL RM4H BB 2017        REV-02  </v>
          </cell>
          <cell r="D606" t="str">
            <v/>
          </cell>
          <cell r="E606" t="str">
            <v>KION IND E COM LT</v>
          </cell>
          <cell r="F606">
            <v>401</v>
          </cell>
          <cell r="G606">
            <v>44025</v>
          </cell>
          <cell r="H606">
            <v>668725</v>
          </cell>
          <cell r="I606" t="str">
            <v>K</v>
          </cell>
          <cell r="J606">
            <v>-21</v>
          </cell>
          <cell r="K606">
            <v>100</v>
          </cell>
          <cell r="L606">
            <v>100</v>
          </cell>
          <cell r="P606">
            <v>100</v>
          </cell>
          <cell r="Q606" t="str">
            <v>Trat. 12/08 - DIADEMA</v>
          </cell>
          <cell r="S606">
            <v>44074</v>
          </cell>
          <cell r="T606">
            <v>8</v>
          </cell>
        </row>
        <row r="607">
          <cell r="A607">
            <v>9999321100</v>
          </cell>
          <cell r="B607" t="str">
            <v>65.111.08335-1</v>
          </cell>
          <cell r="C607" t="str">
            <v xml:space="preserve">TRAVA DA PORTA K7 ENTINT RECICL RM4H BB 2017        REV-02  </v>
          </cell>
          <cell r="D607" t="str">
            <v/>
          </cell>
          <cell r="E607" t="str">
            <v>KION IND E COM LT</v>
          </cell>
          <cell r="F607">
            <v>401</v>
          </cell>
          <cell r="G607">
            <v>44025</v>
          </cell>
          <cell r="H607">
            <v>668725</v>
          </cell>
          <cell r="I607" t="str">
            <v>K</v>
          </cell>
          <cell r="J607">
            <v>-21</v>
          </cell>
          <cell r="K607">
            <v>100</v>
          </cell>
          <cell r="L607">
            <v>100</v>
          </cell>
          <cell r="P607">
            <v>100</v>
          </cell>
          <cell r="Q607" t="str">
            <v>Trat. 12/08 - DIADEMA</v>
          </cell>
          <cell r="S607">
            <v>44081</v>
          </cell>
          <cell r="T607">
            <v>9</v>
          </cell>
        </row>
        <row r="608">
          <cell r="A608">
            <v>9999321101</v>
          </cell>
          <cell r="B608" t="str">
            <v>65.111.08335-1</v>
          </cell>
          <cell r="C608" t="str">
            <v xml:space="preserve">TRAVA DA PORTA K7 ENTINT RECICL RM4H BB 2017        REV-02  </v>
          </cell>
          <cell r="D608" t="str">
            <v/>
          </cell>
          <cell r="E608" t="str">
            <v>KION IND E COM LT</v>
          </cell>
          <cell r="F608">
            <v>401</v>
          </cell>
          <cell r="G608">
            <v>44039</v>
          </cell>
          <cell r="H608">
            <v>668725</v>
          </cell>
          <cell r="I608" t="str">
            <v>K</v>
          </cell>
          <cell r="J608">
            <v>-7</v>
          </cell>
          <cell r="K608">
            <v>100</v>
          </cell>
          <cell r="L608">
            <v>100</v>
          </cell>
          <cell r="P608">
            <v>100</v>
          </cell>
          <cell r="S608">
            <v>44081</v>
          </cell>
          <cell r="T608">
            <v>9</v>
          </cell>
        </row>
        <row r="609">
          <cell r="A609">
            <v>999932193</v>
          </cell>
          <cell r="B609" t="str">
            <v>65.111.08335-1</v>
          </cell>
          <cell r="C609" t="str">
            <v xml:space="preserve">TRAVA DA PORTA K7 ENTINT RECICL RM4H BB 2017        REV-02  </v>
          </cell>
          <cell r="D609" t="str">
            <v/>
          </cell>
          <cell r="E609" t="str">
            <v>KION IND E COM LT</v>
          </cell>
          <cell r="F609">
            <v>401</v>
          </cell>
          <cell r="G609">
            <v>44011</v>
          </cell>
          <cell r="H609">
            <v>668725</v>
          </cell>
          <cell r="I609" t="str">
            <v>K</v>
          </cell>
          <cell r="J609">
            <v>-35</v>
          </cell>
          <cell r="K609">
            <v>100</v>
          </cell>
          <cell r="L609">
            <v>100</v>
          </cell>
          <cell r="P609">
            <v>100</v>
          </cell>
          <cell r="Q609" t="str">
            <v>Trat. 11/08 - ZF</v>
          </cell>
          <cell r="S609">
            <v>44053</v>
          </cell>
          <cell r="T609">
            <v>5</v>
          </cell>
        </row>
        <row r="610">
          <cell r="A610">
            <v>999932194</v>
          </cell>
          <cell r="B610" t="str">
            <v>65.111.08335-1</v>
          </cell>
          <cell r="C610" t="str">
            <v xml:space="preserve">TRAVA DA PORTA K7 ENTINT RECICL RM4H BB 2017        REV-02  </v>
          </cell>
          <cell r="D610" t="str">
            <v/>
          </cell>
          <cell r="E610" t="str">
            <v>KION IND E COM LT</v>
          </cell>
          <cell r="F610">
            <v>401</v>
          </cell>
          <cell r="G610">
            <v>44025</v>
          </cell>
          <cell r="H610">
            <v>668725</v>
          </cell>
          <cell r="I610" t="str">
            <v>K</v>
          </cell>
          <cell r="J610">
            <v>-21</v>
          </cell>
          <cell r="K610">
            <v>100</v>
          </cell>
          <cell r="L610">
            <v>100</v>
          </cell>
          <cell r="P610">
            <v>100</v>
          </cell>
          <cell r="Q610" t="str">
            <v>Trat. 11/08 - ZF</v>
          </cell>
          <cell r="S610">
            <v>44053</v>
          </cell>
          <cell r="T610">
            <v>5</v>
          </cell>
        </row>
        <row r="611">
          <cell r="A611">
            <v>9999322171</v>
          </cell>
          <cell r="B611" t="str">
            <v>65.111.08355-9</v>
          </cell>
          <cell r="C611" t="str">
            <v xml:space="preserve">CHAPA TRAVAMENTO RM4                                REV-00  </v>
          </cell>
          <cell r="D611" t="str">
            <v/>
          </cell>
          <cell r="E611" t="str">
            <v>KION IND E COM LT</v>
          </cell>
          <cell r="F611">
            <v>401</v>
          </cell>
          <cell r="G611">
            <v>44025</v>
          </cell>
          <cell r="H611">
            <v>668725</v>
          </cell>
          <cell r="I611" t="str">
            <v>K</v>
          </cell>
          <cell r="J611">
            <v>-21</v>
          </cell>
          <cell r="K611">
            <v>100</v>
          </cell>
          <cell r="L611">
            <v>100</v>
          </cell>
          <cell r="P611">
            <v>100</v>
          </cell>
          <cell r="Q611" t="str">
            <v>Trat. 28/07 - DIADEMA</v>
          </cell>
          <cell r="R611" t="str">
            <v>10/08 - A</v>
          </cell>
          <cell r="S611">
            <v>44067</v>
          </cell>
          <cell r="T611">
            <v>7</v>
          </cell>
        </row>
        <row r="612">
          <cell r="A612">
            <v>9999322172</v>
          </cell>
          <cell r="B612" t="str">
            <v>65.111.08355-9</v>
          </cell>
          <cell r="C612" t="str">
            <v xml:space="preserve">CHAPA TRAVAMENTO RM4                                REV-00  </v>
          </cell>
          <cell r="D612" t="str">
            <v/>
          </cell>
          <cell r="E612" t="str">
            <v>KION IND E COM LT</v>
          </cell>
          <cell r="F612">
            <v>401</v>
          </cell>
          <cell r="G612">
            <v>44025</v>
          </cell>
          <cell r="H612">
            <v>668725</v>
          </cell>
          <cell r="I612" t="str">
            <v>K</v>
          </cell>
          <cell r="J612">
            <v>-21</v>
          </cell>
          <cell r="K612">
            <v>100</v>
          </cell>
          <cell r="L612">
            <v>100</v>
          </cell>
          <cell r="P612">
            <v>100</v>
          </cell>
          <cell r="Q612" t="str">
            <v>Trat. 28/07 - DIADEMA</v>
          </cell>
          <cell r="R612" t="str">
            <v>10/08 - A</v>
          </cell>
          <cell r="S612">
            <v>44067</v>
          </cell>
          <cell r="T612">
            <v>7</v>
          </cell>
        </row>
        <row r="613">
          <cell r="A613">
            <v>9999322173</v>
          </cell>
          <cell r="B613" t="str">
            <v>65.111.08355-9</v>
          </cell>
          <cell r="C613" t="str">
            <v xml:space="preserve">CHAPA TRAVAMENTO RM4                                REV-00  </v>
          </cell>
          <cell r="D613" t="str">
            <v/>
          </cell>
          <cell r="E613" t="str">
            <v>KION IND E COM LT</v>
          </cell>
          <cell r="F613">
            <v>401</v>
          </cell>
          <cell r="G613">
            <v>44025</v>
          </cell>
          <cell r="H613">
            <v>668725</v>
          </cell>
          <cell r="I613" t="str">
            <v>K</v>
          </cell>
          <cell r="J613">
            <v>-21</v>
          </cell>
          <cell r="K613">
            <v>100</v>
          </cell>
          <cell r="L613">
            <v>100</v>
          </cell>
          <cell r="P613">
            <v>100</v>
          </cell>
          <cell r="Q613" t="str">
            <v>Trat. 28/07 - DIADEMA</v>
          </cell>
          <cell r="R613" t="str">
            <v>10/08 - A</v>
          </cell>
          <cell r="S613">
            <v>44067</v>
          </cell>
          <cell r="T613">
            <v>7</v>
          </cell>
        </row>
        <row r="614">
          <cell r="A614">
            <v>9999322174</v>
          </cell>
          <cell r="B614" t="str">
            <v>65.111.08355-9</v>
          </cell>
          <cell r="C614" t="str">
            <v xml:space="preserve">CHAPA TRAVAMENTO RM4                                REV-00  </v>
          </cell>
          <cell r="D614" t="str">
            <v/>
          </cell>
          <cell r="E614" t="str">
            <v>KION IND E COM LT</v>
          </cell>
          <cell r="F614">
            <v>401</v>
          </cell>
          <cell r="G614">
            <v>44025</v>
          </cell>
          <cell r="H614">
            <v>668725</v>
          </cell>
          <cell r="I614" t="str">
            <v>K</v>
          </cell>
          <cell r="J614">
            <v>-21</v>
          </cell>
          <cell r="K614">
            <v>100</v>
          </cell>
          <cell r="L614">
            <v>100</v>
          </cell>
          <cell r="P614">
            <v>100</v>
          </cell>
          <cell r="Q614" t="str">
            <v>Trat. 28/07 - DIADEMA</v>
          </cell>
          <cell r="R614" t="str">
            <v>10/08 - A</v>
          </cell>
          <cell r="S614">
            <v>44067</v>
          </cell>
          <cell r="T614">
            <v>7</v>
          </cell>
        </row>
        <row r="615">
          <cell r="A615">
            <v>9999322175</v>
          </cell>
          <cell r="B615" t="str">
            <v>65.111.08355-9</v>
          </cell>
          <cell r="C615" t="str">
            <v xml:space="preserve">CHAPA TRAVAMENTO RM4                                REV-00  </v>
          </cell>
          <cell r="D615" t="str">
            <v/>
          </cell>
          <cell r="E615" t="str">
            <v>KION IND E COM LT</v>
          </cell>
          <cell r="F615">
            <v>401</v>
          </cell>
          <cell r="G615">
            <v>44025</v>
          </cell>
          <cell r="H615">
            <v>668725</v>
          </cell>
          <cell r="I615" t="str">
            <v>K</v>
          </cell>
          <cell r="J615">
            <v>-21</v>
          </cell>
          <cell r="K615">
            <v>100</v>
          </cell>
          <cell r="L615">
            <v>100</v>
          </cell>
          <cell r="P615">
            <v>100</v>
          </cell>
          <cell r="Q615" t="str">
            <v>Trat. 28/07 - DIADEMA</v>
          </cell>
          <cell r="R615" t="str">
            <v>10/08 - A</v>
          </cell>
          <cell r="S615">
            <v>44067</v>
          </cell>
          <cell r="T615">
            <v>7</v>
          </cell>
        </row>
        <row r="616">
          <cell r="A616">
            <v>9999322176</v>
          </cell>
          <cell r="B616" t="str">
            <v>65.111.08355-9</v>
          </cell>
          <cell r="C616" t="str">
            <v xml:space="preserve">CHAPA TRAVAMENTO RM4                                REV-00  </v>
          </cell>
          <cell r="D616" t="str">
            <v/>
          </cell>
          <cell r="E616" t="str">
            <v>KION IND E COM LT</v>
          </cell>
          <cell r="F616">
            <v>401</v>
          </cell>
          <cell r="G616">
            <v>44025</v>
          </cell>
          <cell r="H616">
            <v>668725</v>
          </cell>
          <cell r="I616" t="str">
            <v>K</v>
          </cell>
          <cell r="J616">
            <v>-21</v>
          </cell>
          <cell r="K616">
            <v>100</v>
          </cell>
          <cell r="L616">
            <v>100</v>
          </cell>
          <cell r="P616">
            <v>100</v>
          </cell>
          <cell r="Q616" t="str">
            <v>Trat. 28/07 - DIADEMA</v>
          </cell>
          <cell r="R616" t="str">
            <v>10/08 - A</v>
          </cell>
          <cell r="S616">
            <v>44074</v>
          </cell>
          <cell r="T616">
            <v>8</v>
          </cell>
        </row>
        <row r="617">
          <cell r="A617">
            <v>9999322177</v>
          </cell>
          <cell r="B617" t="str">
            <v>65.111.08355-9</v>
          </cell>
          <cell r="C617" t="str">
            <v xml:space="preserve">CHAPA TRAVAMENTO RM4                                REV-00  </v>
          </cell>
          <cell r="D617" t="str">
            <v/>
          </cell>
          <cell r="E617" t="str">
            <v>KION IND E COM LT</v>
          </cell>
          <cell r="F617">
            <v>401</v>
          </cell>
          <cell r="G617">
            <v>44025</v>
          </cell>
          <cell r="H617">
            <v>668725</v>
          </cell>
          <cell r="I617" t="str">
            <v>K</v>
          </cell>
          <cell r="J617">
            <v>-21</v>
          </cell>
          <cell r="K617">
            <v>100</v>
          </cell>
          <cell r="L617">
            <v>100</v>
          </cell>
          <cell r="P617">
            <v>100</v>
          </cell>
          <cell r="Q617" t="str">
            <v>Trat. 28/07 - DIADEMA</v>
          </cell>
          <cell r="R617" t="str">
            <v>10/08 - A</v>
          </cell>
          <cell r="S617">
            <v>44074</v>
          </cell>
          <cell r="T617">
            <v>8</v>
          </cell>
        </row>
        <row r="618">
          <cell r="A618">
            <v>9999322178</v>
          </cell>
          <cell r="B618" t="str">
            <v>65.111.08355-9</v>
          </cell>
          <cell r="C618" t="str">
            <v xml:space="preserve">CHAPA TRAVAMENTO RM4                                REV-00  </v>
          </cell>
          <cell r="D618" t="str">
            <v/>
          </cell>
          <cell r="E618" t="str">
            <v>KION IND E COM LT</v>
          </cell>
          <cell r="F618">
            <v>401</v>
          </cell>
          <cell r="G618">
            <v>44025</v>
          </cell>
          <cell r="H618">
            <v>668725</v>
          </cell>
          <cell r="I618" t="str">
            <v>K</v>
          </cell>
          <cell r="J618">
            <v>-21</v>
          </cell>
          <cell r="K618">
            <v>100</v>
          </cell>
          <cell r="L618">
            <v>100</v>
          </cell>
          <cell r="P618">
            <v>100</v>
          </cell>
          <cell r="Q618" t="str">
            <v>Trat. 28/07 - DIADEMA</v>
          </cell>
          <cell r="R618" t="str">
            <v>10/08 - A</v>
          </cell>
          <cell r="S618">
            <v>44074</v>
          </cell>
          <cell r="T618">
            <v>8</v>
          </cell>
        </row>
        <row r="619">
          <cell r="A619">
            <v>9999322179</v>
          </cell>
          <cell r="B619" t="str">
            <v>65.111.08355-9</v>
          </cell>
          <cell r="C619" t="str">
            <v xml:space="preserve">CHAPA TRAVAMENTO RM4                                REV-00  </v>
          </cell>
          <cell r="D619" t="str">
            <v/>
          </cell>
          <cell r="E619" t="str">
            <v>KION IND E COM LT</v>
          </cell>
          <cell r="F619">
            <v>401</v>
          </cell>
          <cell r="G619">
            <v>44025</v>
          </cell>
          <cell r="H619">
            <v>668725</v>
          </cell>
          <cell r="I619" t="str">
            <v>K</v>
          </cell>
          <cell r="J619">
            <v>-21</v>
          </cell>
          <cell r="K619">
            <v>100</v>
          </cell>
          <cell r="L619">
            <v>100</v>
          </cell>
          <cell r="P619">
            <v>100</v>
          </cell>
          <cell r="Q619" t="str">
            <v>Trat. 28/07 - DIADEMA</v>
          </cell>
          <cell r="R619" t="str">
            <v>10/08 - A</v>
          </cell>
          <cell r="S619">
            <v>44074</v>
          </cell>
          <cell r="T619">
            <v>8</v>
          </cell>
        </row>
        <row r="620">
          <cell r="A620">
            <v>9999322180</v>
          </cell>
          <cell r="B620" t="str">
            <v>65.111.08355-9</v>
          </cell>
          <cell r="C620" t="str">
            <v xml:space="preserve">CHAPA TRAVAMENTO RM4                                REV-00  </v>
          </cell>
          <cell r="D620" t="str">
            <v/>
          </cell>
          <cell r="E620" t="str">
            <v>KION IND E COM LT</v>
          </cell>
          <cell r="F620">
            <v>401</v>
          </cell>
          <cell r="G620">
            <v>44025</v>
          </cell>
          <cell r="H620">
            <v>668725</v>
          </cell>
          <cell r="I620" t="str">
            <v>K</v>
          </cell>
          <cell r="J620">
            <v>-21</v>
          </cell>
          <cell r="K620">
            <v>100</v>
          </cell>
          <cell r="L620">
            <v>100</v>
          </cell>
          <cell r="P620">
            <v>100</v>
          </cell>
          <cell r="Q620" t="str">
            <v>LASER 30/07 - FM</v>
          </cell>
          <cell r="S620">
            <v>44074</v>
          </cell>
          <cell r="T620">
            <v>8</v>
          </cell>
        </row>
        <row r="621">
          <cell r="A621">
            <v>9999322181</v>
          </cell>
          <cell r="B621" t="str">
            <v>65.111.08355-9</v>
          </cell>
          <cell r="C621" t="str">
            <v xml:space="preserve">CHAPA TRAVAMENTO RM4                                REV-00  </v>
          </cell>
          <cell r="D621" t="str">
            <v/>
          </cell>
          <cell r="E621" t="str">
            <v>KION IND E COM LT</v>
          </cell>
          <cell r="F621">
            <v>401</v>
          </cell>
          <cell r="G621">
            <v>44025</v>
          </cell>
          <cell r="H621">
            <v>668725</v>
          </cell>
          <cell r="I621" t="str">
            <v>K</v>
          </cell>
          <cell r="J621">
            <v>-21</v>
          </cell>
          <cell r="K621">
            <v>100</v>
          </cell>
          <cell r="L621">
            <v>100</v>
          </cell>
          <cell r="P621">
            <v>100</v>
          </cell>
          <cell r="Q621" t="str">
            <v>LASER 30/07 - FM</v>
          </cell>
          <cell r="S621">
            <v>44081</v>
          </cell>
          <cell r="T621">
            <v>9</v>
          </cell>
        </row>
        <row r="622">
          <cell r="A622">
            <v>9999322182</v>
          </cell>
          <cell r="B622" t="str">
            <v>65.111.08355-9</v>
          </cell>
          <cell r="C622" t="str">
            <v xml:space="preserve">CHAPA TRAVAMENTO RM4                                REV-00  </v>
          </cell>
          <cell r="D622" t="str">
            <v/>
          </cell>
          <cell r="E622" t="str">
            <v>KION IND E COM LT</v>
          </cell>
          <cell r="F622">
            <v>401</v>
          </cell>
          <cell r="G622">
            <v>44025</v>
          </cell>
          <cell r="H622">
            <v>668725</v>
          </cell>
          <cell r="I622" t="str">
            <v>K</v>
          </cell>
          <cell r="J622">
            <v>-21</v>
          </cell>
          <cell r="K622">
            <v>100</v>
          </cell>
          <cell r="L622">
            <v>100</v>
          </cell>
          <cell r="P622">
            <v>100</v>
          </cell>
          <cell r="Q622" t="str">
            <v>LASER 30/07 - FM</v>
          </cell>
          <cell r="S622">
            <v>44081</v>
          </cell>
          <cell r="T622">
            <v>9</v>
          </cell>
        </row>
        <row r="623">
          <cell r="A623">
            <v>9999322183</v>
          </cell>
          <cell r="B623" t="str">
            <v>65.111.08355-9</v>
          </cell>
          <cell r="C623" t="str">
            <v xml:space="preserve">CHAPA TRAVAMENTO RM4                                REV-00  </v>
          </cell>
          <cell r="D623" t="str">
            <v/>
          </cell>
          <cell r="E623" t="str">
            <v>KION IND E COM LT</v>
          </cell>
          <cell r="F623">
            <v>401</v>
          </cell>
          <cell r="G623">
            <v>44025</v>
          </cell>
          <cell r="H623">
            <v>668725</v>
          </cell>
          <cell r="I623" t="str">
            <v>K</v>
          </cell>
          <cell r="J623">
            <v>-21</v>
          </cell>
          <cell r="K623">
            <v>100</v>
          </cell>
          <cell r="L623">
            <v>100</v>
          </cell>
          <cell r="P623">
            <v>100</v>
          </cell>
          <cell r="Q623" t="str">
            <v>LASER 30/07 - FM</v>
          </cell>
          <cell r="S623">
            <v>44081</v>
          </cell>
          <cell r="T623">
            <v>9</v>
          </cell>
        </row>
        <row r="624">
          <cell r="A624">
            <v>9999322169</v>
          </cell>
          <cell r="B624" t="str">
            <v>65.111.08355-9</v>
          </cell>
          <cell r="C624" t="str">
            <v xml:space="preserve">CHAPA TRAVAMENTO RM4                                REV-00  </v>
          </cell>
          <cell r="D624" t="str">
            <v/>
          </cell>
          <cell r="E624" t="str">
            <v>KION IND E COM LT</v>
          </cell>
          <cell r="F624">
            <v>401</v>
          </cell>
          <cell r="G624">
            <v>44025</v>
          </cell>
          <cell r="H624">
            <v>668725</v>
          </cell>
          <cell r="I624" t="str">
            <v>K</v>
          </cell>
          <cell r="J624">
            <v>-21</v>
          </cell>
          <cell r="K624">
            <v>100</v>
          </cell>
          <cell r="L624">
            <v>100</v>
          </cell>
          <cell r="P624">
            <v>100</v>
          </cell>
          <cell r="Q624" t="str">
            <v>coleta solicitada em 03/08</v>
          </cell>
          <cell r="S624">
            <v>44053</v>
          </cell>
          <cell r="T624">
            <v>5</v>
          </cell>
        </row>
        <row r="625">
          <cell r="A625">
            <v>9999322170</v>
          </cell>
          <cell r="B625" t="str">
            <v>65.111.08355-9</v>
          </cell>
          <cell r="C625" t="str">
            <v xml:space="preserve">CHAPA TRAVAMENTO RM4                                REV-00  </v>
          </cell>
          <cell r="D625" t="str">
            <v/>
          </cell>
          <cell r="E625" t="str">
            <v>KION IND E COM LT</v>
          </cell>
          <cell r="F625">
            <v>401</v>
          </cell>
          <cell r="G625">
            <v>44025</v>
          </cell>
          <cell r="H625">
            <v>668725</v>
          </cell>
          <cell r="I625" t="str">
            <v>K</v>
          </cell>
          <cell r="J625">
            <v>-21</v>
          </cell>
          <cell r="K625">
            <v>100</v>
          </cell>
          <cell r="L625">
            <v>100</v>
          </cell>
          <cell r="P625">
            <v>100</v>
          </cell>
          <cell r="Q625" t="str">
            <v>coleta solicitada em 03/08</v>
          </cell>
          <cell r="S625">
            <v>44053</v>
          </cell>
          <cell r="T625">
            <v>5</v>
          </cell>
        </row>
        <row r="626">
          <cell r="A626">
            <v>982074651</v>
          </cell>
          <cell r="B626" t="str">
            <v>65.111.08356-6</v>
          </cell>
          <cell r="C626" t="str">
            <v xml:space="preserve">SUPT FIX CHASSI VALID CED MEI DCASH ROHS            REV-01  </v>
          </cell>
          <cell r="D626" t="str">
            <v/>
          </cell>
          <cell r="E626" t="str">
            <v>KION IND E COM LT</v>
          </cell>
          <cell r="F626">
            <v>401</v>
          </cell>
          <cell r="G626">
            <v>44046</v>
          </cell>
          <cell r="H626">
            <v>377859</v>
          </cell>
          <cell r="J626">
            <v>0</v>
          </cell>
          <cell r="K626">
            <v>300</v>
          </cell>
          <cell r="L626">
            <v>300</v>
          </cell>
          <cell r="P626">
            <v>300</v>
          </cell>
          <cell r="Q626" t="str">
            <v>material em produção - previsão de entrega até 11/08</v>
          </cell>
          <cell r="R626" t="str">
            <v>07/08 - A</v>
          </cell>
          <cell r="S626">
            <v>44046</v>
          </cell>
          <cell r="T626">
            <v>4</v>
          </cell>
        </row>
        <row r="627">
          <cell r="A627">
            <v>982074652</v>
          </cell>
          <cell r="B627" t="str">
            <v>65.111.08356-6</v>
          </cell>
          <cell r="C627" t="str">
            <v xml:space="preserve">SUPT FIX CHASSI VALID CED MEI DCASH ROHS            REV-01  </v>
          </cell>
          <cell r="D627" t="str">
            <v/>
          </cell>
          <cell r="E627" t="str">
            <v>KION IND E COM LT</v>
          </cell>
          <cell r="F627">
            <v>401</v>
          </cell>
          <cell r="G627">
            <v>44067</v>
          </cell>
          <cell r="H627">
            <v>377859</v>
          </cell>
          <cell r="J627">
            <v>21</v>
          </cell>
          <cell r="K627">
            <v>210</v>
          </cell>
          <cell r="L627">
            <v>210</v>
          </cell>
          <cell r="P627">
            <v>210</v>
          </cell>
          <cell r="Q627" t="str">
            <v>OP 22/07 - FM</v>
          </cell>
          <cell r="S627">
            <v>44081</v>
          </cell>
          <cell r="T627">
            <v>9</v>
          </cell>
        </row>
        <row r="628">
          <cell r="A628">
            <v>982074281</v>
          </cell>
          <cell r="B628" t="str">
            <v>65.111.08357-3</v>
          </cell>
          <cell r="C628" t="str">
            <v xml:space="preserve">OMEGA FIX NOBREAK SMS DCASH ROHS                    REV-00  </v>
          </cell>
          <cell r="D628" t="str">
            <v/>
          </cell>
          <cell r="E628" t="str">
            <v>KION IND E COM LT</v>
          </cell>
          <cell r="F628">
            <v>401</v>
          </cell>
          <cell r="G628">
            <v>44046</v>
          </cell>
          <cell r="H628">
            <v>377859</v>
          </cell>
          <cell r="J628">
            <v>0</v>
          </cell>
          <cell r="K628">
            <v>150</v>
          </cell>
          <cell r="L628">
            <v>150</v>
          </cell>
          <cell r="P628">
            <v>150</v>
          </cell>
          <cell r="Q628" t="str">
            <v>Trat. 06/08 - 253p - ARTEC</v>
          </cell>
          <cell r="S628">
            <v>44046</v>
          </cell>
          <cell r="T628">
            <v>4</v>
          </cell>
        </row>
        <row r="629">
          <cell r="A629">
            <v>982074282</v>
          </cell>
          <cell r="B629" t="str">
            <v>65.111.08357-3</v>
          </cell>
          <cell r="C629" t="str">
            <v xml:space="preserve">OMEGA FIX NOBREAK SMS DCASH ROHS                    REV-00  </v>
          </cell>
          <cell r="D629" t="str">
            <v/>
          </cell>
          <cell r="E629" t="str">
            <v>KION IND E COM LT</v>
          </cell>
          <cell r="F629">
            <v>401</v>
          </cell>
          <cell r="G629">
            <v>44067</v>
          </cell>
          <cell r="H629">
            <v>377859</v>
          </cell>
          <cell r="J629">
            <v>21</v>
          </cell>
          <cell r="K629">
            <v>100</v>
          </cell>
          <cell r="L629">
            <v>100</v>
          </cell>
          <cell r="P629">
            <v>100</v>
          </cell>
          <cell r="Q629" t="str">
            <v>Trat. 06/08 - ARTEC</v>
          </cell>
          <cell r="S629">
            <v>44081</v>
          </cell>
          <cell r="T629">
            <v>9</v>
          </cell>
        </row>
        <row r="630">
          <cell r="A630">
            <v>999932494</v>
          </cell>
          <cell r="B630" t="str">
            <v>65.111.08389-4</v>
          </cell>
          <cell r="C630" t="str">
            <v xml:space="preserve">SUPORTE SOLENOIDE PORTA ENTINT RM4H BB              REV-01  </v>
          </cell>
          <cell r="D630" t="str">
            <v/>
          </cell>
          <cell r="E630" t="str">
            <v>KION IND E COM LT</v>
          </cell>
          <cell r="F630">
            <v>401</v>
          </cell>
          <cell r="G630">
            <v>44025</v>
          </cell>
          <cell r="H630">
            <v>668725</v>
          </cell>
          <cell r="I630" t="str">
            <v>K</v>
          </cell>
          <cell r="J630">
            <v>-21</v>
          </cell>
          <cell r="K630">
            <v>100</v>
          </cell>
          <cell r="L630">
            <v>100</v>
          </cell>
          <cell r="P630">
            <v>100</v>
          </cell>
          <cell r="Q630" t="str">
            <v>Trat. 07/08 - DIADEMA</v>
          </cell>
          <cell r="S630">
            <v>44067</v>
          </cell>
          <cell r="T630">
            <v>7</v>
          </cell>
        </row>
        <row r="631">
          <cell r="A631">
            <v>999932495</v>
          </cell>
          <cell r="B631" t="str">
            <v>65.111.08389-4</v>
          </cell>
          <cell r="C631" t="str">
            <v xml:space="preserve">SUPORTE SOLENOIDE PORTA ENTINT RM4H BB              REV-01  </v>
          </cell>
          <cell r="D631" t="str">
            <v/>
          </cell>
          <cell r="E631" t="str">
            <v>KION IND E COM LT</v>
          </cell>
          <cell r="F631">
            <v>401</v>
          </cell>
          <cell r="G631">
            <v>44025</v>
          </cell>
          <cell r="H631">
            <v>668725</v>
          </cell>
          <cell r="I631" t="str">
            <v>K</v>
          </cell>
          <cell r="J631">
            <v>-21</v>
          </cell>
          <cell r="K631">
            <v>100</v>
          </cell>
          <cell r="L631">
            <v>100</v>
          </cell>
          <cell r="P631">
            <v>100</v>
          </cell>
          <cell r="Q631" t="str">
            <v>Trat. 07/08 - DIADEMA</v>
          </cell>
          <cell r="S631">
            <v>44067</v>
          </cell>
          <cell r="T631">
            <v>7</v>
          </cell>
        </row>
        <row r="632">
          <cell r="A632">
            <v>999932496</v>
          </cell>
          <cell r="B632" t="str">
            <v>65.111.08389-4</v>
          </cell>
          <cell r="C632" t="str">
            <v xml:space="preserve">SUPORTE SOLENOIDE PORTA ENTINT RM4H BB              REV-01  </v>
          </cell>
          <cell r="D632" t="str">
            <v/>
          </cell>
          <cell r="E632" t="str">
            <v>KION IND E COM LT</v>
          </cell>
          <cell r="F632">
            <v>401</v>
          </cell>
          <cell r="G632">
            <v>44025</v>
          </cell>
          <cell r="H632">
            <v>668725</v>
          </cell>
          <cell r="I632" t="str">
            <v>K</v>
          </cell>
          <cell r="J632">
            <v>-21</v>
          </cell>
          <cell r="K632">
            <v>100</v>
          </cell>
          <cell r="L632">
            <v>100</v>
          </cell>
          <cell r="P632">
            <v>100</v>
          </cell>
          <cell r="Q632" t="str">
            <v>Trat. 07/08 - DIADEMA</v>
          </cell>
          <cell r="S632">
            <v>44074</v>
          </cell>
          <cell r="T632">
            <v>8</v>
          </cell>
        </row>
        <row r="633">
          <cell r="A633">
            <v>999932497</v>
          </cell>
          <cell r="B633" t="str">
            <v>65.111.08389-4</v>
          </cell>
          <cell r="C633" t="str">
            <v xml:space="preserve">SUPORTE SOLENOIDE PORTA ENTINT RM4H BB              REV-01  </v>
          </cell>
          <cell r="D633" t="str">
            <v/>
          </cell>
          <cell r="E633" t="str">
            <v>KION IND E COM LT</v>
          </cell>
          <cell r="F633">
            <v>401</v>
          </cell>
          <cell r="G633">
            <v>44025</v>
          </cell>
          <cell r="H633">
            <v>668725</v>
          </cell>
          <cell r="I633" t="str">
            <v>K</v>
          </cell>
          <cell r="J633">
            <v>-21</v>
          </cell>
          <cell r="K633">
            <v>100</v>
          </cell>
          <cell r="L633">
            <v>100</v>
          </cell>
          <cell r="P633">
            <v>100</v>
          </cell>
          <cell r="Q633" t="str">
            <v>Trat. 07/08 - DIADEMA</v>
          </cell>
          <cell r="S633">
            <v>44074</v>
          </cell>
          <cell r="T633">
            <v>8</v>
          </cell>
        </row>
        <row r="634">
          <cell r="A634">
            <v>999932498</v>
          </cell>
          <cell r="B634" t="str">
            <v>65.111.08389-4</v>
          </cell>
          <cell r="C634" t="str">
            <v xml:space="preserve">SUPORTE SOLENOIDE PORTA ENTINT RM4H BB              REV-01  </v>
          </cell>
          <cell r="D634" t="str">
            <v/>
          </cell>
          <cell r="E634" t="str">
            <v>KION IND E COM LT</v>
          </cell>
          <cell r="F634">
            <v>401</v>
          </cell>
          <cell r="G634">
            <v>44025</v>
          </cell>
          <cell r="H634">
            <v>668725</v>
          </cell>
          <cell r="I634" t="str">
            <v>K</v>
          </cell>
          <cell r="J634">
            <v>-21</v>
          </cell>
          <cell r="K634">
            <v>100</v>
          </cell>
          <cell r="L634">
            <v>100</v>
          </cell>
          <cell r="P634">
            <v>100</v>
          </cell>
          <cell r="Q634" t="str">
            <v>Trat. 07/08 - DIADEMA</v>
          </cell>
          <cell r="S634">
            <v>44074</v>
          </cell>
          <cell r="T634">
            <v>8</v>
          </cell>
        </row>
        <row r="635">
          <cell r="A635">
            <v>999932499</v>
          </cell>
          <cell r="B635" t="str">
            <v>65.111.08389-4</v>
          </cell>
          <cell r="C635" t="str">
            <v xml:space="preserve">SUPORTE SOLENOIDE PORTA ENTINT RM4H BB              REV-01  </v>
          </cell>
          <cell r="D635" t="str">
            <v/>
          </cell>
          <cell r="E635" t="str">
            <v>KION IND E COM LT</v>
          </cell>
          <cell r="F635">
            <v>401</v>
          </cell>
          <cell r="G635">
            <v>44025</v>
          </cell>
          <cell r="H635">
            <v>668725</v>
          </cell>
          <cell r="I635" t="str">
            <v>K</v>
          </cell>
          <cell r="J635">
            <v>-21</v>
          </cell>
          <cell r="K635">
            <v>100</v>
          </cell>
          <cell r="L635">
            <v>100</v>
          </cell>
          <cell r="P635">
            <v>100</v>
          </cell>
          <cell r="Q635" t="str">
            <v>LASER 30/07 - FM +30</v>
          </cell>
          <cell r="S635">
            <v>44081</v>
          </cell>
          <cell r="T635">
            <v>9</v>
          </cell>
        </row>
        <row r="636">
          <cell r="A636">
            <v>9999324100</v>
          </cell>
          <cell r="B636" t="str">
            <v>65.111.08389-4</v>
          </cell>
          <cell r="C636" t="str">
            <v xml:space="preserve">SUPORTE SOLENOIDE PORTA ENTINT RM4H BB              REV-01  </v>
          </cell>
          <cell r="D636" t="str">
            <v/>
          </cell>
          <cell r="E636" t="str">
            <v>KION IND E COM LT</v>
          </cell>
          <cell r="F636">
            <v>401</v>
          </cell>
          <cell r="G636">
            <v>44039</v>
          </cell>
          <cell r="H636">
            <v>668725</v>
          </cell>
          <cell r="I636" t="str">
            <v>K</v>
          </cell>
          <cell r="J636">
            <v>-7</v>
          </cell>
          <cell r="K636">
            <v>100</v>
          </cell>
          <cell r="L636">
            <v>100</v>
          </cell>
          <cell r="P636">
            <v>100</v>
          </cell>
          <cell r="Q636" t="str">
            <v/>
          </cell>
          <cell r="S636">
            <v>44081</v>
          </cell>
          <cell r="T636">
            <v>9</v>
          </cell>
        </row>
        <row r="637">
          <cell r="A637">
            <v>999932492</v>
          </cell>
          <cell r="B637" t="str">
            <v>65.111.08389-4</v>
          </cell>
          <cell r="C637" t="str">
            <v xml:space="preserve">SUPORTE SOLENOIDE PORTA ENTINT RM4H BB              REV-01  </v>
          </cell>
          <cell r="D637" t="str">
            <v/>
          </cell>
          <cell r="E637" t="str">
            <v>KION IND E COM LT</v>
          </cell>
          <cell r="F637">
            <v>401</v>
          </cell>
          <cell r="G637">
            <v>44011</v>
          </cell>
          <cell r="H637">
            <v>668725</v>
          </cell>
          <cell r="I637" t="str">
            <v>K</v>
          </cell>
          <cell r="J637">
            <v>-35</v>
          </cell>
          <cell r="K637">
            <v>100</v>
          </cell>
          <cell r="L637">
            <v>100</v>
          </cell>
          <cell r="P637">
            <v>100</v>
          </cell>
          <cell r="Q637" t="str">
            <v>Trat. 07/08 - 760p - DIADEMA</v>
          </cell>
          <cell r="S637">
            <v>44053</v>
          </cell>
          <cell r="T637">
            <v>5</v>
          </cell>
        </row>
        <row r="638">
          <cell r="A638">
            <v>999932493</v>
          </cell>
          <cell r="B638" t="str">
            <v>65.111.08389-4</v>
          </cell>
          <cell r="C638" t="str">
            <v xml:space="preserve">SUPORTE SOLENOIDE PORTA ENTINT RM4H BB              REV-01  </v>
          </cell>
          <cell r="D638" t="str">
            <v/>
          </cell>
          <cell r="E638" t="str">
            <v>KION IND E COM LT</v>
          </cell>
          <cell r="F638">
            <v>401</v>
          </cell>
          <cell r="G638">
            <v>44025</v>
          </cell>
          <cell r="H638">
            <v>668725</v>
          </cell>
          <cell r="I638" t="str">
            <v>K</v>
          </cell>
          <cell r="J638">
            <v>-21</v>
          </cell>
          <cell r="K638">
            <v>100</v>
          </cell>
          <cell r="L638">
            <v>100</v>
          </cell>
          <cell r="P638">
            <v>100</v>
          </cell>
          <cell r="Q638" t="str">
            <v>Trat. 07/08 - DIADEMA</v>
          </cell>
          <cell r="S638">
            <v>44053</v>
          </cell>
          <cell r="T638">
            <v>5</v>
          </cell>
        </row>
        <row r="639">
          <cell r="A639">
            <v>999932590</v>
          </cell>
          <cell r="B639" t="str">
            <v>65.111.08400-2</v>
          </cell>
          <cell r="C639" t="str">
            <v>SUP SENS ARRANC DIR HST ROHS                        REV-02</v>
          </cell>
          <cell r="D639" t="str">
            <v/>
          </cell>
          <cell r="E639" t="str">
            <v>KION IND E COM LT</v>
          </cell>
          <cell r="F639">
            <v>401</v>
          </cell>
          <cell r="G639">
            <v>44032</v>
          </cell>
          <cell r="H639">
            <v>668725</v>
          </cell>
          <cell r="I639" t="str">
            <v>K</v>
          </cell>
          <cell r="J639">
            <v>-14</v>
          </cell>
          <cell r="K639">
            <v>100</v>
          </cell>
          <cell r="L639">
            <v>100</v>
          </cell>
          <cell r="P639">
            <v>100</v>
          </cell>
          <cell r="Q639" t="str">
            <v>Est Ok - FM (30/07)</v>
          </cell>
          <cell r="S639">
            <v>44074</v>
          </cell>
          <cell r="T639">
            <v>8</v>
          </cell>
        </row>
        <row r="640">
          <cell r="A640">
            <v>999932591</v>
          </cell>
          <cell r="B640" t="str">
            <v>65.111.08400-2</v>
          </cell>
          <cell r="C640" t="str">
            <v>SUP SENS ARRANC DIR HST ROHS                        REV-02</v>
          </cell>
          <cell r="D640" t="str">
            <v/>
          </cell>
          <cell r="E640" t="str">
            <v>KION IND E COM LT</v>
          </cell>
          <cell r="F640">
            <v>401</v>
          </cell>
          <cell r="G640">
            <v>44032</v>
          </cell>
          <cell r="H640">
            <v>668725</v>
          </cell>
          <cell r="I640" t="str">
            <v>K</v>
          </cell>
          <cell r="J640">
            <v>-14</v>
          </cell>
          <cell r="K640">
            <v>100</v>
          </cell>
          <cell r="L640">
            <v>100</v>
          </cell>
          <cell r="P640">
            <v>100</v>
          </cell>
          <cell r="Q640" t="str">
            <v xml:space="preserve">LASER 30/07 </v>
          </cell>
          <cell r="S640">
            <v>44074</v>
          </cell>
          <cell r="T640">
            <v>8</v>
          </cell>
        </row>
        <row r="641">
          <cell r="A641">
            <v>999932592</v>
          </cell>
          <cell r="B641" t="str">
            <v>65.111.08400-2</v>
          </cell>
          <cell r="C641" t="str">
            <v>SUP SENS ARRANC DIR HST ROHS                        REV-02</v>
          </cell>
          <cell r="D641" t="str">
            <v/>
          </cell>
          <cell r="E641" t="str">
            <v>KION IND E COM LT</v>
          </cell>
          <cell r="F641">
            <v>401</v>
          </cell>
          <cell r="G641">
            <v>44032</v>
          </cell>
          <cell r="H641">
            <v>668725</v>
          </cell>
          <cell r="I641" t="str">
            <v>K</v>
          </cell>
          <cell r="J641">
            <v>-14</v>
          </cell>
          <cell r="K641">
            <v>100</v>
          </cell>
          <cell r="L641">
            <v>100</v>
          </cell>
          <cell r="P641">
            <v>100</v>
          </cell>
          <cell r="Q641" t="str">
            <v xml:space="preserve">LASER 30/07 </v>
          </cell>
          <cell r="S641">
            <v>44081</v>
          </cell>
          <cell r="T641">
            <v>9</v>
          </cell>
        </row>
        <row r="642">
          <cell r="A642">
            <v>999932593</v>
          </cell>
          <cell r="B642" t="str">
            <v>65.111.08400-2</v>
          </cell>
          <cell r="C642" t="str">
            <v>SUP SENS ARRANC DIR HST ROHS                        REV-02</v>
          </cell>
          <cell r="D642" t="str">
            <v/>
          </cell>
          <cell r="E642" t="str">
            <v>KION IND E COM LT</v>
          </cell>
          <cell r="F642">
            <v>401</v>
          </cell>
          <cell r="G642">
            <v>44039</v>
          </cell>
          <cell r="H642">
            <v>668725</v>
          </cell>
          <cell r="I642" t="str">
            <v>K</v>
          </cell>
          <cell r="J642">
            <v>-7</v>
          </cell>
          <cell r="K642">
            <v>100</v>
          </cell>
          <cell r="L642">
            <v>100</v>
          </cell>
          <cell r="P642">
            <v>100</v>
          </cell>
          <cell r="Q642" t="str">
            <v/>
          </cell>
          <cell r="S642">
            <v>44081</v>
          </cell>
          <cell r="T642">
            <v>9</v>
          </cell>
        </row>
        <row r="643">
          <cell r="A643">
            <v>999932589</v>
          </cell>
          <cell r="B643" t="str">
            <v>65.111.08400-2</v>
          </cell>
          <cell r="C643" t="str">
            <v>SUP SENS ARRANC DIR HST ROHS                        REV-02</v>
          </cell>
          <cell r="D643" t="str">
            <v/>
          </cell>
          <cell r="E643" t="str">
            <v>KION IND E COM LT</v>
          </cell>
          <cell r="F643">
            <v>401</v>
          </cell>
          <cell r="G643">
            <v>43997</v>
          </cell>
          <cell r="H643">
            <v>668725</v>
          </cell>
          <cell r="I643" t="str">
            <v>K</v>
          </cell>
          <cell r="J643">
            <v>-49</v>
          </cell>
          <cell r="K643">
            <v>140</v>
          </cell>
          <cell r="L643">
            <v>140</v>
          </cell>
          <cell r="P643">
            <v>140</v>
          </cell>
          <cell r="Q643" t="str">
            <v>material em produção - previsão de entrega até 11/08</v>
          </cell>
          <cell r="S643">
            <v>44053</v>
          </cell>
          <cell r="T643">
            <v>5</v>
          </cell>
        </row>
        <row r="644">
          <cell r="A644">
            <v>999932686</v>
          </cell>
          <cell r="B644" t="str">
            <v>65.111.08401-9</v>
          </cell>
          <cell r="C644" t="str">
            <v>SUP SENS ARRANC ESQ HST ROHS                        REV-03</v>
          </cell>
          <cell r="D644" t="str">
            <v/>
          </cell>
          <cell r="E644" t="str">
            <v>KION IND E COM LT</v>
          </cell>
          <cell r="F644">
            <v>401</v>
          </cell>
          <cell r="G644">
            <v>44025</v>
          </cell>
          <cell r="H644">
            <v>668725</v>
          </cell>
          <cell r="I644" t="str">
            <v>K</v>
          </cell>
          <cell r="J644">
            <v>-21</v>
          </cell>
          <cell r="K644">
            <v>100</v>
          </cell>
          <cell r="L644">
            <v>100</v>
          </cell>
          <cell r="P644">
            <v>100</v>
          </cell>
          <cell r="Q644" t="str">
            <v xml:space="preserve">LASER 30/07 </v>
          </cell>
          <cell r="S644">
            <v>44074</v>
          </cell>
          <cell r="T644">
            <v>8</v>
          </cell>
        </row>
        <row r="645">
          <cell r="A645">
            <v>999932687</v>
          </cell>
          <cell r="B645" t="str">
            <v>65.111.08401-9</v>
          </cell>
          <cell r="C645" t="str">
            <v>SUP SENS ARRANC ESQ HST ROHS                        REV-03</v>
          </cell>
          <cell r="D645" t="str">
            <v/>
          </cell>
          <cell r="E645" t="str">
            <v>KION IND E COM LT</v>
          </cell>
          <cell r="F645">
            <v>401</v>
          </cell>
          <cell r="G645">
            <v>44025</v>
          </cell>
          <cell r="H645">
            <v>668725</v>
          </cell>
          <cell r="I645" t="str">
            <v>K</v>
          </cell>
          <cell r="J645">
            <v>-21</v>
          </cell>
          <cell r="K645">
            <v>100</v>
          </cell>
          <cell r="L645">
            <v>100</v>
          </cell>
          <cell r="P645">
            <v>100</v>
          </cell>
          <cell r="Q645" t="str">
            <v xml:space="preserve">LASER 30/07 </v>
          </cell>
          <cell r="S645">
            <v>44074</v>
          </cell>
          <cell r="T645">
            <v>8</v>
          </cell>
        </row>
        <row r="646">
          <cell r="A646">
            <v>999932688</v>
          </cell>
          <cell r="B646" t="str">
            <v>65.111.08401-9</v>
          </cell>
          <cell r="C646" t="str">
            <v>SUP SENS ARRANC ESQ HST ROHS                        REV-03</v>
          </cell>
          <cell r="D646" t="str">
            <v/>
          </cell>
          <cell r="E646" t="str">
            <v>KION IND E COM LT</v>
          </cell>
          <cell r="F646">
            <v>401</v>
          </cell>
          <cell r="G646">
            <v>44025</v>
          </cell>
          <cell r="H646">
            <v>668725</v>
          </cell>
          <cell r="I646" t="str">
            <v>K</v>
          </cell>
          <cell r="J646">
            <v>-21</v>
          </cell>
          <cell r="K646">
            <v>100</v>
          </cell>
          <cell r="L646">
            <v>100</v>
          </cell>
          <cell r="P646">
            <v>100</v>
          </cell>
          <cell r="Q646" t="str">
            <v xml:space="preserve">LASER 30/07 </v>
          </cell>
          <cell r="S646">
            <v>44081</v>
          </cell>
          <cell r="T646">
            <v>9</v>
          </cell>
        </row>
        <row r="647">
          <cell r="A647">
            <v>999932689</v>
          </cell>
          <cell r="B647" t="str">
            <v>65.111.08401-9</v>
          </cell>
          <cell r="C647" t="str">
            <v>SUP SENS ARRANC ESQ HST ROHS                        REV-03</v>
          </cell>
          <cell r="D647" t="str">
            <v/>
          </cell>
          <cell r="E647" t="str">
            <v>KION IND E COM LT</v>
          </cell>
          <cell r="F647">
            <v>401</v>
          </cell>
          <cell r="G647">
            <v>44025</v>
          </cell>
          <cell r="H647">
            <v>668725</v>
          </cell>
          <cell r="I647" t="str">
            <v>K</v>
          </cell>
          <cell r="J647">
            <v>-21</v>
          </cell>
          <cell r="K647">
            <v>100</v>
          </cell>
          <cell r="L647">
            <v>100</v>
          </cell>
          <cell r="P647">
            <v>100</v>
          </cell>
          <cell r="Q647" t="str">
            <v xml:space="preserve">LASER 30/07 </v>
          </cell>
          <cell r="S647">
            <v>44081</v>
          </cell>
          <cell r="T647">
            <v>9</v>
          </cell>
        </row>
        <row r="648">
          <cell r="A648">
            <v>999932690</v>
          </cell>
          <cell r="B648" t="str">
            <v>65.111.08401-9</v>
          </cell>
          <cell r="C648" t="str">
            <v>SUP SENS ARRANC ESQ HST ROHS                        REV-03</v>
          </cell>
          <cell r="D648" t="str">
            <v/>
          </cell>
          <cell r="E648" t="str">
            <v>KION IND E COM LT</v>
          </cell>
          <cell r="F648">
            <v>401</v>
          </cell>
          <cell r="G648">
            <v>44025</v>
          </cell>
          <cell r="H648">
            <v>668725</v>
          </cell>
          <cell r="I648" t="str">
            <v>K</v>
          </cell>
          <cell r="J648">
            <v>-21</v>
          </cell>
          <cell r="K648">
            <v>100</v>
          </cell>
          <cell r="L648">
            <v>100</v>
          </cell>
          <cell r="P648">
            <v>100</v>
          </cell>
          <cell r="Q648" t="str">
            <v xml:space="preserve">LASER 30/07 </v>
          </cell>
          <cell r="S648">
            <v>44095</v>
          </cell>
          <cell r="T648">
            <v>11</v>
          </cell>
        </row>
        <row r="649">
          <cell r="A649">
            <v>999932685</v>
          </cell>
          <cell r="B649" t="str">
            <v>65.111.08401-9</v>
          </cell>
          <cell r="C649" t="str">
            <v>SUP SENS ARRANC ESQ HST ROHS                        REV-03</v>
          </cell>
          <cell r="D649" t="str">
            <v/>
          </cell>
          <cell r="E649" t="str">
            <v>KION IND E COM LT</v>
          </cell>
          <cell r="F649">
            <v>401</v>
          </cell>
          <cell r="G649">
            <v>43997</v>
          </cell>
          <cell r="H649">
            <v>668725</v>
          </cell>
          <cell r="I649" t="str">
            <v>K</v>
          </cell>
          <cell r="J649">
            <v>-49</v>
          </cell>
          <cell r="K649">
            <v>150</v>
          </cell>
          <cell r="L649">
            <v>150</v>
          </cell>
          <cell r="P649">
            <v>150</v>
          </cell>
          <cell r="Q649" t="str">
            <v>material em produção - previsão de entrega até 11/08</v>
          </cell>
          <cell r="S649">
            <v>44053</v>
          </cell>
          <cell r="T649">
            <v>5</v>
          </cell>
        </row>
        <row r="650">
          <cell r="A650">
            <v>999932966</v>
          </cell>
          <cell r="B650" t="str">
            <v>65.111.08405-7</v>
          </cell>
          <cell r="C650" t="str">
            <v xml:space="preserve">SUPORTE DIR TRAVA PAINEL RM4 ROHS                   REV-00  </v>
          </cell>
          <cell r="D650" t="str">
            <v>65.110.01578-8</v>
          </cell>
          <cell r="E650" t="str">
            <v>KION IND E COM LT</v>
          </cell>
          <cell r="F650">
            <v>401</v>
          </cell>
          <cell r="G650">
            <v>44032</v>
          </cell>
          <cell r="H650">
            <v>668725</v>
          </cell>
          <cell r="I650" t="str">
            <v>K</v>
          </cell>
          <cell r="J650">
            <v>-14</v>
          </cell>
          <cell r="K650">
            <v>100</v>
          </cell>
          <cell r="L650">
            <v>100</v>
          </cell>
          <cell r="P650">
            <v>100</v>
          </cell>
          <cell r="Q650" t="str">
            <v xml:space="preserve">LASER 30/07 </v>
          </cell>
          <cell r="S650">
            <v>44067</v>
          </cell>
          <cell r="T650">
            <v>7</v>
          </cell>
        </row>
        <row r="651">
          <cell r="A651">
            <v>999932967</v>
          </cell>
          <cell r="B651" t="str">
            <v>65.111.08405-7</v>
          </cell>
          <cell r="C651" t="str">
            <v xml:space="preserve">SUPORTE DIR TRAVA PAINEL RM4 ROHS                   REV-00  </v>
          </cell>
          <cell r="D651" t="str">
            <v>65.110.01578-8</v>
          </cell>
          <cell r="E651" t="str">
            <v>KION IND E COM LT</v>
          </cell>
          <cell r="F651">
            <v>401</v>
          </cell>
          <cell r="G651">
            <v>44032</v>
          </cell>
          <cell r="H651">
            <v>668725</v>
          </cell>
          <cell r="I651" t="str">
            <v>K</v>
          </cell>
          <cell r="J651">
            <v>-14</v>
          </cell>
          <cell r="K651">
            <v>100</v>
          </cell>
          <cell r="L651">
            <v>100</v>
          </cell>
          <cell r="P651">
            <v>100</v>
          </cell>
          <cell r="Q651" t="str">
            <v xml:space="preserve">LASER 30/07 </v>
          </cell>
          <cell r="S651">
            <v>44074</v>
          </cell>
          <cell r="T651">
            <v>8</v>
          </cell>
        </row>
        <row r="652">
          <cell r="A652">
            <v>999932968</v>
          </cell>
          <cell r="B652" t="str">
            <v>65.111.08405-7</v>
          </cell>
          <cell r="C652" t="str">
            <v xml:space="preserve">SUPORTE DIR TRAVA PAINEL RM4 ROHS                   REV-00  </v>
          </cell>
          <cell r="D652" t="str">
            <v>65.110.01578-8</v>
          </cell>
          <cell r="E652" t="str">
            <v>KION IND E COM LT</v>
          </cell>
          <cell r="F652">
            <v>401</v>
          </cell>
          <cell r="G652">
            <v>44032</v>
          </cell>
          <cell r="H652">
            <v>668725</v>
          </cell>
          <cell r="I652" t="str">
            <v>K</v>
          </cell>
          <cell r="J652">
            <v>-14</v>
          </cell>
          <cell r="K652">
            <v>100</v>
          </cell>
          <cell r="L652">
            <v>100</v>
          </cell>
          <cell r="P652">
            <v>100</v>
          </cell>
          <cell r="Q652" t="str">
            <v xml:space="preserve">LASER 30/07 </v>
          </cell>
          <cell r="S652">
            <v>44081</v>
          </cell>
          <cell r="T652">
            <v>9</v>
          </cell>
        </row>
        <row r="653">
          <cell r="A653">
            <v>999932965</v>
          </cell>
          <cell r="B653" t="str">
            <v>65.111.08405-7</v>
          </cell>
          <cell r="C653" t="str">
            <v xml:space="preserve">SUPORTE DIR TRAVA PAINEL RM4 ROHS                   REV-00  </v>
          </cell>
          <cell r="D653" t="str">
            <v>65.110.01578-8</v>
          </cell>
          <cell r="E653" t="str">
            <v>KION IND E COM LT</v>
          </cell>
          <cell r="F653">
            <v>401</v>
          </cell>
          <cell r="G653">
            <v>44011</v>
          </cell>
          <cell r="H653">
            <v>668725</v>
          </cell>
          <cell r="I653" t="str">
            <v>K</v>
          </cell>
          <cell r="J653">
            <v>-35</v>
          </cell>
          <cell r="K653">
            <v>100</v>
          </cell>
          <cell r="L653">
            <v>100</v>
          </cell>
          <cell r="P653">
            <v>100</v>
          </cell>
          <cell r="Q653" t="str">
            <v>material em produção - previsão de entrega até 11/08</v>
          </cell>
          <cell r="S653">
            <v>44053</v>
          </cell>
          <cell r="T653">
            <v>5</v>
          </cell>
        </row>
        <row r="654">
          <cell r="A654">
            <v>999933190</v>
          </cell>
          <cell r="B654" t="str">
            <v>65.111.08409-5</v>
          </cell>
          <cell r="C654" t="str">
            <v xml:space="preserve">GUIA POSICAO SHUTTER RM4 SUP ROHS                   REV-00  </v>
          </cell>
          <cell r="D654" t="str">
            <v/>
          </cell>
          <cell r="E654" t="str">
            <v>KION IND E COM LT</v>
          </cell>
          <cell r="F654">
            <v>401</v>
          </cell>
          <cell r="G654">
            <v>44011</v>
          </cell>
          <cell r="H654">
            <v>668725</v>
          </cell>
          <cell r="I654" t="str">
            <v>K</v>
          </cell>
          <cell r="J654">
            <v>-35</v>
          </cell>
          <cell r="K654">
            <v>100</v>
          </cell>
          <cell r="L654">
            <v>100</v>
          </cell>
          <cell r="P654">
            <v>100</v>
          </cell>
          <cell r="Q654" t="str">
            <v>material em tratamento superficial - previsão de entrega até 07/08</v>
          </cell>
          <cell r="R654" t="str">
            <v>07/08 - A</v>
          </cell>
          <cell r="S654">
            <v>44046</v>
          </cell>
          <cell r="T654">
            <v>4</v>
          </cell>
        </row>
        <row r="655">
          <cell r="A655">
            <v>999933193</v>
          </cell>
          <cell r="B655" t="str">
            <v>65.111.08409-5</v>
          </cell>
          <cell r="C655" t="str">
            <v xml:space="preserve">GUIA POSICAO SHUTTER RM4 SUP ROHS                   REV-00  </v>
          </cell>
          <cell r="D655" t="str">
            <v/>
          </cell>
          <cell r="E655" t="str">
            <v>KION IND E COM LT</v>
          </cell>
          <cell r="F655">
            <v>401</v>
          </cell>
          <cell r="G655">
            <v>44025</v>
          </cell>
          <cell r="H655">
            <v>668725</v>
          </cell>
          <cell r="I655" t="str">
            <v>K</v>
          </cell>
          <cell r="J655">
            <v>-21</v>
          </cell>
          <cell r="K655">
            <v>100</v>
          </cell>
          <cell r="L655">
            <v>100</v>
          </cell>
          <cell r="P655">
            <v>100</v>
          </cell>
          <cell r="Q655" t="str">
            <v xml:space="preserve">LASER 30/07 </v>
          </cell>
          <cell r="S655">
            <v>44067</v>
          </cell>
          <cell r="T655">
            <v>7</v>
          </cell>
        </row>
        <row r="656">
          <cell r="A656">
            <v>999933194</v>
          </cell>
          <cell r="B656" t="str">
            <v>65.111.08409-5</v>
          </cell>
          <cell r="C656" t="str">
            <v xml:space="preserve">GUIA POSICAO SHUTTER RM4 SUP ROHS                   REV-00  </v>
          </cell>
          <cell r="D656" t="str">
            <v/>
          </cell>
          <cell r="E656" t="str">
            <v>KION IND E COM LT</v>
          </cell>
          <cell r="F656">
            <v>401</v>
          </cell>
          <cell r="G656">
            <v>44025</v>
          </cell>
          <cell r="H656">
            <v>668725</v>
          </cell>
          <cell r="I656" t="str">
            <v>K</v>
          </cell>
          <cell r="J656">
            <v>-21</v>
          </cell>
          <cell r="K656">
            <v>100</v>
          </cell>
          <cell r="L656">
            <v>100</v>
          </cell>
          <cell r="P656">
            <v>100</v>
          </cell>
          <cell r="Q656" t="str">
            <v xml:space="preserve">LASER 30/07 </v>
          </cell>
          <cell r="S656">
            <v>44067</v>
          </cell>
          <cell r="T656">
            <v>7</v>
          </cell>
        </row>
        <row r="657">
          <cell r="A657">
            <v>999933195</v>
          </cell>
          <cell r="B657" t="str">
            <v>65.111.08409-5</v>
          </cell>
          <cell r="C657" t="str">
            <v xml:space="preserve">GUIA POSICAO SHUTTER RM4 SUP ROHS                   REV-00  </v>
          </cell>
          <cell r="D657" t="str">
            <v/>
          </cell>
          <cell r="E657" t="str">
            <v>KION IND E COM LT</v>
          </cell>
          <cell r="F657">
            <v>401</v>
          </cell>
          <cell r="G657">
            <v>44025</v>
          </cell>
          <cell r="H657">
            <v>668725</v>
          </cell>
          <cell r="I657" t="str">
            <v>K</v>
          </cell>
          <cell r="J657">
            <v>-21</v>
          </cell>
          <cell r="K657">
            <v>100</v>
          </cell>
          <cell r="L657">
            <v>100</v>
          </cell>
          <cell r="P657">
            <v>100</v>
          </cell>
          <cell r="Q657" t="str">
            <v xml:space="preserve">LASER 30/07 </v>
          </cell>
          <cell r="S657">
            <v>44074</v>
          </cell>
          <cell r="T657">
            <v>8</v>
          </cell>
        </row>
        <row r="658">
          <cell r="A658">
            <v>999933196</v>
          </cell>
          <cell r="B658" t="str">
            <v>65.111.08409-5</v>
          </cell>
          <cell r="C658" t="str">
            <v xml:space="preserve">GUIA POSICAO SHUTTER RM4 SUP ROHS                   REV-00  </v>
          </cell>
          <cell r="D658" t="str">
            <v/>
          </cell>
          <cell r="E658" t="str">
            <v>KION IND E COM LT</v>
          </cell>
          <cell r="F658">
            <v>401</v>
          </cell>
          <cell r="G658">
            <v>44025</v>
          </cell>
          <cell r="H658">
            <v>668725</v>
          </cell>
          <cell r="I658" t="str">
            <v>K</v>
          </cell>
          <cell r="J658">
            <v>-21</v>
          </cell>
          <cell r="K658">
            <v>100</v>
          </cell>
          <cell r="L658">
            <v>100</v>
          </cell>
          <cell r="P658">
            <v>100</v>
          </cell>
          <cell r="Q658" t="str">
            <v xml:space="preserve">LASER 30/07 </v>
          </cell>
          <cell r="S658">
            <v>44074</v>
          </cell>
          <cell r="T658">
            <v>8</v>
          </cell>
        </row>
        <row r="659">
          <cell r="A659">
            <v>999933197</v>
          </cell>
          <cell r="B659" t="str">
            <v>65.111.08409-5</v>
          </cell>
          <cell r="C659" t="str">
            <v xml:space="preserve">GUIA POSICAO SHUTTER RM4 SUP ROHS                   REV-00  </v>
          </cell>
          <cell r="D659" t="str">
            <v/>
          </cell>
          <cell r="E659" t="str">
            <v>KION IND E COM LT</v>
          </cell>
          <cell r="F659">
            <v>401</v>
          </cell>
          <cell r="G659">
            <v>44025</v>
          </cell>
          <cell r="H659">
            <v>668725</v>
          </cell>
          <cell r="I659" t="str">
            <v>K</v>
          </cell>
          <cell r="J659">
            <v>-21</v>
          </cell>
          <cell r="K659">
            <v>100</v>
          </cell>
          <cell r="L659">
            <v>100</v>
          </cell>
          <cell r="P659">
            <v>100</v>
          </cell>
          <cell r="Q659" t="str">
            <v xml:space="preserve">LASER 30/07 </v>
          </cell>
          <cell r="S659">
            <v>44074</v>
          </cell>
          <cell r="T659">
            <v>8</v>
          </cell>
        </row>
        <row r="660">
          <cell r="A660">
            <v>999933198</v>
          </cell>
          <cell r="B660" t="str">
            <v>65.111.08409-5</v>
          </cell>
          <cell r="C660" t="str">
            <v xml:space="preserve">GUIA POSICAO SHUTTER RM4 SUP ROHS                   REV-00  </v>
          </cell>
          <cell r="D660" t="str">
            <v/>
          </cell>
          <cell r="E660" t="str">
            <v>KION IND E COM LT</v>
          </cell>
          <cell r="F660">
            <v>401</v>
          </cell>
          <cell r="G660">
            <v>44025</v>
          </cell>
          <cell r="H660">
            <v>668725</v>
          </cell>
          <cell r="I660" t="str">
            <v>K</v>
          </cell>
          <cell r="J660">
            <v>-21</v>
          </cell>
          <cell r="K660">
            <v>100</v>
          </cell>
          <cell r="L660">
            <v>100</v>
          </cell>
          <cell r="P660">
            <v>100</v>
          </cell>
          <cell r="Q660" t="str">
            <v xml:space="preserve">LASER 30/07 </v>
          </cell>
          <cell r="S660">
            <v>44081</v>
          </cell>
          <cell r="T660">
            <v>9</v>
          </cell>
        </row>
        <row r="661">
          <cell r="A661">
            <v>999933199</v>
          </cell>
          <cell r="B661" t="str">
            <v>65.111.08409-5</v>
          </cell>
          <cell r="C661" t="str">
            <v xml:space="preserve">GUIA POSICAO SHUTTER RM4 SUP ROHS                   REV-00  </v>
          </cell>
          <cell r="D661" t="str">
            <v/>
          </cell>
          <cell r="E661" t="str">
            <v>KION IND E COM LT</v>
          </cell>
          <cell r="F661">
            <v>401</v>
          </cell>
          <cell r="G661">
            <v>44039</v>
          </cell>
          <cell r="H661">
            <v>668725</v>
          </cell>
          <cell r="I661" t="str">
            <v>K</v>
          </cell>
          <cell r="J661">
            <v>-7</v>
          </cell>
          <cell r="K661">
            <v>100</v>
          </cell>
          <cell r="L661">
            <v>100</v>
          </cell>
          <cell r="P661">
            <v>100</v>
          </cell>
          <cell r="Q661" t="str">
            <v/>
          </cell>
          <cell r="S661">
            <v>44081</v>
          </cell>
          <cell r="T661">
            <v>9</v>
          </cell>
        </row>
        <row r="662">
          <cell r="A662">
            <v>999933191</v>
          </cell>
          <cell r="B662" t="str">
            <v>65.111.08409-5</v>
          </cell>
          <cell r="C662" t="str">
            <v xml:space="preserve">GUIA POSICAO SHUTTER RM4 SUP ROHS                   REV-00  </v>
          </cell>
          <cell r="D662" t="str">
            <v/>
          </cell>
          <cell r="E662" t="str">
            <v>KION IND E COM LT</v>
          </cell>
          <cell r="F662">
            <v>401</v>
          </cell>
          <cell r="G662">
            <v>44011</v>
          </cell>
          <cell r="H662">
            <v>668725</v>
          </cell>
          <cell r="I662" t="str">
            <v>K</v>
          </cell>
          <cell r="J662">
            <v>-35</v>
          </cell>
          <cell r="K662">
            <v>100</v>
          </cell>
          <cell r="L662">
            <v>100</v>
          </cell>
          <cell r="P662">
            <v>100</v>
          </cell>
          <cell r="Q662" t="str">
            <v>Trat. 05/08 - DIADEMA</v>
          </cell>
          <cell r="S662">
            <v>44053</v>
          </cell>
          <cell r="T662">
            <v>5</v>
          </cell>
        </row>
        <row r="663">
          <cell r="A663">
            <v>999933192</v>
          </cell>
          <cell r="B663" t="str">
            <v>65.111.08409-5</v>
          </cell>
          <cell r="C663" t="str">
            <v xml:space="preserve">GUIA POSICAO SHUTTER RM4 SUP ROHS                   REV-00  </v>
          </cell>
          <cell r="D663" t="str">
            <v/>
          </cell>
          <cell r="E663" t="str">
            <v>KION IND E COM LT</v>
          </cell>
          <cell r="F663">
            <v>401</v>
          </cell>
          <cell r="G663">
            <v>44025</v>
          </cell>
          <cell r="H663">
            <v>668725</v>
          </cell>
          <cell r="I663" t="str">
            <v>K</v>
          </cell>
          <cell r="J663">
            <v>-21</v>
          </cell>
          <cell r="K663">
            <v>100</v>
          </cell>
          <cell r="L663">
            <v>100</v>
          </cell>
          <cell r="P663">
            <v>100</v>
          </cell>
          <cell r="Q663" t="str">
            <v>Trat. 05/08 - 200p - DIADEMA</v>
          </cell>
          <cell r="S663">
            <v>44053</v>
          </cell>
          <cell r="T663">
            <v>5</v>
          </cell>
        </row>
        <row r="664">
          <cell r="A664">
            <v>999956357</v>
          </cell>
          <cell r="B664" t="str">
            <v>65.111.08465-1</v>
          </cell>
          <cell r="C664" t="str">
            <v xml:space="preserve">BASE FIX LT CONTACTLESS BB 2017 ROHS                REV-00  </v>
          </cell>
          <cell r="D664" t="str">
            <v/>
          </cell>
          <cell r="E664" t="str">
            <v>KION IND E COM LT</v>
          </cell>
          <cell r="F664">
            <v>401</v>
          </cell>
          <cell r="G664">
            <v>44011</v>
          </cell>
          <cell r="H664">
            <v>668725</v>
          </cell>
          <cell r="I664" t="str">
            <v>K</v>
          </cell>
          <cell r="J664">
            <v>-35</v>
          </cell>
          <cell r="K664">
            <v>100</v>
          </cell>
          <cell r="L664">
            <v>100</v>
          </cell>
          <cell r="P664">
            <v>100</v>
          </cell>
          <cell r="Q664" t="str">
            <v>material em produção - previsão de entrega até 11/08</v>
          </cell>
          <cell r="S664">
            <v>44046</v>
          </cell>
          <cell r="T664">
            <v>4</v>
          </cell>
        </row>
        <row r="665">
          <cell r="A665">
            <v>999956360</v>
          </cell>
          <cell r="B665" t="str">
            <v>65.111.08465-1</v>
          </cell>
          <cell r="C665" t="str">
            <v xml:space="preserve">BASE FIX LT CONTACTLESS BB 2017 ROHS                REV-00  </v>
          </cell>
          <cell r="D665" t="str">
            <v/>
          </cell>
          <cell r="E665" t="str">
            <v>KION IND E COM LT</v>
          </cell>
          <cell r="F665">
            <v>401</v>
          </cell>
          <cell r="G665">
            <v>44025</v>
          </cell>
          <cell r="H665">
            <v>668725</v>
          </cell>
          <cell r="I665" t="str">
            <v>K</v>
          </cell>
          <cell r="J665">
            <v>-21</v>
          </cell>
          <cell r="K665">
            <v>100</v>
          </cell>
          <cell r="L665">
            <v>100</v>
          </cell>
          <cell r="P665">
            <v>100</v>
          </cell>
          <cell r="Q665" t="str">
            <v xml:space="preserve">LASER 30/07 </v>
          </cell>
          <cell r="S665">
            <v>44067</v>
          </cell>
          <cell r="T665">
            <v>7</v>
          </cell>
        </row>
        <row r="666">
          <cell r="A666">
            <v>999956361</v>
          </cell>
          <cell r="B666" t="str">
            <v>65.111.08465-1</v>
          </cell>
          <cell r="C666" t="str">
            <v xml:space="preserve">BASE FIX LT CONTACTLESS BB 2017 ROHS                REV-00  </v>
          </cell>
          <cell r="D666" t="str">
            <v/>
          </cell>
          <cell r="E666" t="str">
            <v>KION IND E COM LT</v>
          </cell>
          <cell r="F666">
            <v>401</v>
          </cell>
          <cell r="G666">
            <v>44025</v>
          </cell>
          <cell r="H666">
            <v>668725</v>
          </cell>
          <cell r="I666" t="str">
            <v>K</v>
          </cell>
          <cell r="J666">
            <v>-21</v>
          </cell>
          <cell r="K666">
            <v>100</v>
          </cell>
          <cell r="L666">
            <v>100</v>
          </cell>
          <cell r="P666">
            <v>100</v>
          </cell>
          <cell r="Q666" t="str">
            <v xml:space="preserve">LASER 30/07 </v>
          </cell>
          <cell r="S666">
            <v>44067</v>
          </cell>
          <cell r="T666">
            <v>7</v>
          </cell>
        </row>
        <row r="667">
          <cell r="A667">
            <v>999956362</v>
          </cell>
          <cell r="B667" t="str">
            <v>65.111.08465-1</v>
          </cell>
          <cell r="C667" t="str">
            <v xml:space="preserve">BASE FIX LT CONTACTLESS BB 2017 ROHS                REV-00  </v>
          </cell>
          <cell r="D667" t="str">
            <v/>
          </cell>
          <cell r="E667" t="str">
            <v>KION IND E COM LT</v>
          </cell>
          <cell r="F667">
            <v>401</v>
          </cell>
          <cell r="G667">
            <v>44025</v>
          </cell>
          <cell r="H667">
            <v>668725</v>
          </cell>
          <cell r="I667" t="str">
            <v>K</v>
          </cell>
          <cell r="J667">
            <v>-21</v>
          </cell>
          <cell r="K667">
            <v>100</v>
          </cell>
          <cell r="L667">
            <v>100</v>
          </cell>
          <cell r="P667">
            <v>100</v>
          </cell>
          <cell r="Q667" t="str">
            <v xml:space="preserve">LASER 30/07 </v>
          </cell>
          <cell r="S667">
            <v>44074</v>
          </cell>
          <cell r="T667">
            <v>8</v>
          </cell>
        </row>
        <row r="668">
          <cell r="A668">
            <v>999956363</v>
          </cell>
          <cell r="B668" t="str">
            <v>65.111.08465-1</v>
          </cell>
          <cell r="C668" t="str">
            <v xml:space="preserve">BASE FIX LT CONTACTLESS BB 2017 ROHS                REV-00  </v>
          </cell>
          <cell r="D668" t="str">
            <v/>
          </cell>
          <cell r="E668" t="str">
            <v>KION IND E COM LT</v>
          </cell>
          <cell r="F668">
            <v>401</v>
          </cell>
          <cell r="G668">
            <v>44025</v>
          </cell>
          <cell r="H668">
            <v>668725</v>
          </cell>
          <cell r="I668" t="str">
            <v>K</v>
          </cell>
          <cell r="J668">
            <v>-21</v>
          </cell>
          <cell r="K668">
            <v>100</v>
          </cell>
          <cell r="L668">
            <v>100</v>
          </cell>
          <cell r="P668">
            <v>100</v>
          </cell>
          <cell r="Q668" t="str">
            <v xml:space="preserve">LASER 30/07 </v>
          </cell>
          <cell r="S668">
            <v>44074</v>
          </cell>
          <cell r="T668">
            <v>8</v>
          </cell>
        </row>
        <row r="669">
          <cell r="A669">
            <v>999956364</v>
          </cell>
          <cell r="B669" t="str">
            <v>65.111.08465-1</v>
          </cell>
          <cell r="C669" t="str">
            <v xml:space="preserve">BASE FIX LT CONTACTLESS BB 2017 ROHS                REV-00  </v>
          </cell>
          <cell r="D669" t="str">
            <v/>
          </cell>
          <cell r="E669" t="str">
            <v>KION IND E COM LT</v>
          </cell>
          <cell r="F669">
            <v>401</v>
          </cell>
          <cell r="G669">
            <v>44025</v>
          </cell>
          <cell r="H669">
            <v>668725</v>
          </cell>
          <cell r="I669" t="str">
            <v>K</v>
          </cell>
          <cell r="J669">
            <v>-21</v>
          </cell>
          <cell r="K669">
            <v>100</v>
          </cell>
          <cell r="L669">
            <v>100</v>
          </cell>
          <cell r="P669">
            <v>100</v>
          </cell>
          <cell r="Q669" t="str">
            <v xml:space="preserve">LASER 30/07 </v>
          </cell>
          <cell r="S669">
            <v>44081</v>
          </cell>
          <cell r="T669">
            <v>9</v>
          </cell>
        </row>
        <row r="670">
          <cell r="A670">
            <v>999956365</v>
          </cell>
          <cell r="B670" t="str">
            <v>65.111.08465-1</v>
          </cell>
          <cell r="C670" t="str">
            <v xml:space="preserve">BASE FIX LT CONTACTLESS BB 2017 ROHS                REV-00  </v>
          </cell>
          <cell r="D670" t="str">
            <v/>
          </cell>
          <cell r="E670" t="str">
            <v>KION IND E COM LT</v>
          </cell>
          <cell r="F670">
            <v>401</v>
          </cell>
          <cell r="G670">
            <v>44039</v>
          </cell>
          <cell r="H670">
            <v>668725</v>
          </cell>
          <cell r="I670" t="str">
            <v>K</v>
          </cell>
          <cell r="J670">
            <v>-7</v>
          </cell>
          <cell r="K670">
            <v>100</v>
          </cell>
          <cell r="L670">
            <v>100</v>
          </cell>
          <cell r="P670">
            <v>100</v>
          </cell>
          <cell r="Q670" t="str">
            <v/>
          </cell>
          <cell r="S670">
            <v>44081</v>
          </cell>
          <cell r="T670">
            <v>9</v>
          </cell>
        </row>
        <row r="671">
          <cell r="A671">
            <v>999956358</v>
          </cell>
          <cell r="B671" t="str">
            <v>65.111.08465-1</v>
          </cell>
          <cell r="C671" t="str">
            <v xml:space="preserve">BASE FIX LT CONTACTLESS BB 2017 ROHS                REV-00  </v>
          </cell>
          <cell r="D671" t="str">
            <v/>
          </cell>
          <cell r="E671" t="str">
            <v>KION IND E COM LT</v>
          </cell>
          <cell r="F671">
            <v>401</v>
          </cell>
          <cell r="G671">
            <v>44011</v>
          </cell>
          <cell r="H671">
            <v>668725</v>
          </cell>
          <cell r="I671" t="str">
            <v>K</v>
          </cell>
          <cell r="J671">
            <v>-35</v>
          </cell>
          <cell r="K671">
            <v>100</v>
          </cell>
          <cell r="L671">
            <v>100</v>
          </cell>
          <cell r="P671">
            <v>100</v>
          </cell>
          <cell r="Q671" t="str">
            <v>material em produção - previsão de entrega até 11/08</v>
          </cell>
          <cell r="S671">
            <v>44053</v>
          </cell>
          <cell r="T671">
            <v>5</v>
          </cell>
        </row>
        <row r="672">
          <cell r="A672">
            <v>999956359</v>
          </cell>
          <cell r="B672" t="str">
            <v>65.111.08465-1</v>
          </cell>
          <cell r="C672" t="str">
            <v xml:space="preserve">BASE FIX LT CONTACTLESS BB 2017 ROHS                REV-00  </v>
          </cell>
          <cell r="D672" t="str">
            <v/>
          </cell>
          <cell r="E672" t="str">
            <v>KION IND E COM LT</v>
          </cell>
          <cell r="F672">
            <v>401</v>
          </cell>
          <cell r="G672">
            <v>44025</v>
          </cell>
          <cell r="H672">
            <v>668725</v>
          </cell>
          <cell r="I672" t="str">
            <v>K</v>
          </cell>
          <cell r="J672">
            <v>-21</v>
          </cell>
          <cell r="K672">
            <v>100</v>
          </cell>
          <cell r="L672">
            <v>100</v>
          </cell>
          <cell r="P672">
            <v>100</v>
          </cell>
          <cell r="Q672" t="str">
            <v>material em produção - previsão de entrega até 11/08</v>
          </cell>
          <cell r="S672">
            <v>44053</v>
          </cell>
          <cell r="T672">
            <v>5</v>
          </cell>
        </row>
        <row r="673">
          <cell r="A673">
            <v>708594001294</v>
          </cell>
          <cell r="B673" t="str">
            <v>65.116.00295-9</v>
          </cell>
          <cell r="C673" t="str">
            <v xml:space="preserve">BASE PROTEC FECHAD K7 NOT MMD/AFD ROHS   REV        REV-03  </v>
          </cell>
          <cell r="D673" t="str">
            <v/>
          </cell>
          <cell r="E673" t="str">
            <v>KION IND E COM LT</v>
          </cell>
          <cell r="F673">
            <v>401</v>
          </cell>
          <cell r="G673">
            <v>44004</v>
          </cell>
          <cell r="H673">
            <v>668725</v>
          </cell>
          <cell r="I673" t="str">
            <v>K</v>
          </cell>
          <cell r="J673">
            <v>0</v>
          </cell>
          <cell r="K673">
            <v>100</v>
          </cell>
          <cell r="L673">
            <v>100</v>
          </cell>
          <cell r="O673">
            <v>100</v>
          </cell>
          <cell r="P673">
            <v>0</v>
          </cell>
          <cell r="Q673" t="str">
            <v>EST OK - VK (03/07)</v>
          </cell>
          <cell r="T673">
            <v>9</v>
          </cell>
        </row>
        <row r="674">
          <cell r="A674">
            <v>9999564105</v>
          </cell>
          <cell r="B674" t="str">
            <v>65.111.08466-8</v>
          </cell>
          <cell r="C674" t="str">
            <v xml:space="preserve">SUP MOLA RETORNO TRAVA ROHS                         REV-02  </v>
          </cell>
          <cell r="D674" t="str">
            <v/>
          </cell>
          <cell r="E674" t="str">
            <v>KION IND E COM LT</v>
          </cell>
          <cell r="F674">
            <v>401</v>
          </cell>
          <cell r="G674">
            <v>44011</v>
          </cell>
          <cell r="H674">
            <v>668725</v>
          </cell>
          <cell r="I674" t="str">
            <v>K</v>
          </cell>
          <cell r="J674">
            <v>-35</v>
          </cell>
          <cell r="K674">
            <v>100</v>
          </cell>
          <cell r="L674">
            <v>100</v>
          </cell>
          <cell r="P674">
            <v>100</v>
          </cell>
          <cell r="Q674" t="str">
            <v>Trat. 10/08 - 1060p - DIADEMA</v>
          </cell>
          <cell r="S674">
            <v>44046</v>
          </cell>
          <cell r="T674">
            <v>4</v>
          </cell>
        </row>
        <row r="675">
          <cell r="A675">
            <v>9999564106</v>
          </cell>
          <cell r="B675" t="str">
            <v>65.111.08466-8</v>
          </cell>
          <cell r="C675" t="str">
            <v xml:space="preserve">SUP MOLA RETORNO TRAVA ROHS                         REV-02  </v>
          </cell>
          <cell r="D675" t="str">
            <v/>
          </cell>
          <cell r="E675" t="str">
            <v>KION IND E COM LT</v>
          </cell>
          <cell r="F675">
            <v>401</v>
          </cell>
          <cell r="G675">
            <v>44011</v>
          </cell>
          <cell r="H675">
            <v>668725</v>
          </cell>
          <cell r="I675" t="str">
            <v>K</v>
          </cell>
          <cell r="J675">
            <v>-35</v>
          </cell>
          <cell r="K675">
            <v>100</v>
          </cell>
          <cell r="L675">
            <v>100</v>
          </cell>
          <cell r="P675">
            <v>100</v>
          </cell>
          <cell r="Q675" t="str">
            <v>Trat. 10/08 - DIADEMA</v>
          </cell>
          <cell r="S675">
            <v>44046</v>
          </cell>
          <cell r="T675">
            <v>4</v>
          </cell>
        </row>
        <row r="676">
          <cell r="A676">
            <v>9999564109</v>
          </cell>
          <cell r="B676" t="str">
            <v>65.111.08466-8</v>
          </cell>
          <cell r="C676" t="str">
            <v xml:space="preserve">SUP MOLA RETORNO TRAVA ROHS                         REV-02  </v>
          </cell>
          <cell r="D676" t="str">
            <v/>
          </cell>
          <cell r="E676" t="str">
            <v>KION IND E COM LT</v>
          </cell>
          <cell r="F676">
            <v>401</v>
          </cell>
          <cell r="G676">
            <v>44025</v>
          </cell>
          <cell r="H676">
            <v>668725</v>
          </cell>
          <cell r="I676" t="str">
            <v>K</v>
          </cell>
          <cell r="J676">
            <v>-21</v>
          </cell>
          <cell r="K676">
            <v>100</v>
          </cell>
          <cell r="L676">
            <v>100</v>
          </cell>
          <cell r="P676">
            <v>100</v>
          </cell>
          <cell r="Q676" t="str">
            <v>Trat. 10/08 - DIADEMA</v>
          </cell>
          <cell r="S676">
            <v>44067</v>
          </cell>
          <cell r="T676">
            <v>7</v>
          </cell>
        </row>
        <row r="677">
          <cell r="A677">
            <v>9999564110</v>
          </cell>
          <cell r="B677" t="str">
            <v>65.111.08466-8</v>
          </cell>
          <cell r="C677" t="str">
            <v xml:space="preserve">SUP MOLA RETORNO TRAVA ROHS                         REV-02  </v>
          </cell>
          <cell r="D677" t="str">
            <v/>
          </cell>
          <cell r="E677" t="str">
            <v>KION IND E COM LT</v>
          </cell>
          <cell r="F677">
            <v>401</v>
          </cell>
          <cell r="G677">
            <v>44025</v>
          </cell>
          <cell r="H677">
            <v>668725</v>
          </cell>
          <cell r="I677" t="str">
            <v>K</v>
          </cell>
          <cell r="J677">
            <v>-21</v>
          </cell>
          <cell r="K677">
            <v>100</v>
          </cell>
          <cell r="L677">
            <v>100</v>
          </cell>
          <cell r="P677">
            <v>100</v>
          </cell>
          <cell r="Q677" t="str">
            <v>Trat. 10/08 - DIADEMA</v>
          </cell>
          <cell r="S677">
            <v>44067</v>
          </cell>
          <cell r="T677">
            <v>7</v>
          </cell>
        </row>
        <row r="678">
          <cell r="A678">
            <v>9999564111</v>
          </cell>
          <cell r="B678" t="str">
            <v>65.111.08466-8</v>
          </cell>
          <cell r="C678" t="str">
            <v xml:space="preserve">SUP MOLA RETORNO TRAVA ROHS                         REV-02  </v>
          </cell>
          <cell r="D678" t="str">
            <v/>
          </cell>
          <cell r="E678" t="str">
            <v>KION IND E COM LT</v>
          </cell>
          <cell r="F678">
            <v>401</v>
          </cell>
          <cell r="G678">
            <v>44025</v>
          </cell>
          <cell r="H678">
            <v>668725</v>
          </cell>
          <cell r="I678" t="str">
            <v>K</v>
          </cell>
          <cell r="J678">
            <v>-21</v>
          </cell>
          <cell r="K678">
            <v>100</v>
          </cell>
          <cell r="L678">
            <v>100</v>
          </cell>
          <cell r="P678">
            <v>100</v>
          </cell>
          <cell r="Q678" t="str">
            <v>Trat. 10/08 - DIADEMA</v>
          </cell>
          <cell r="S678">
            <v>44074</v>
          </cell>
          <cell r="T678">
            <v>8</v>
          </cell>
        </row>
        <row r="679">
          <cell r="A679">
            <v>9999564112</v>
          </cell>
          <cell r="B679" t="str">
            <v>65.111.08466-8</v>
          </cell>
          <cell r="C679" t="str">
            <v xml:space="preserve">SUP MOLA RETORNO TRAVA ROHS                         REV-02  </v>
          </cell>
          <cell r="D679" t="str">
            <v/>
          </cell>
          <cell r="E679" t="str">
            <v>KION IND E COM LT</v>
          </cell>
          <cell r="F679">
            <v>401</v>
          </cell>
          <cell r="G679">
            <v>44025</v>
          </cell>
          <cell r="H679">
            <v>668725</v>
          </cell>
          <cell r="I679" t="str">
            <v>K</v>
          </cell>
          <cell r="J679">
            <v>-21</v>
          </cell>
          <cell r="K679">
            <v>100</v>
          </cell>
          <cell r="L679">
            <v>100</v>
          </cell>
          <cell r="P679">
            <v>100</v>
          </cell>
          <cell r="Q679" t="str">
            <v>Trat. 10/08 - DIADEMA</v>
          </cell>
          <cell r="S679">
            <v>44074</v>
          </cell>
          <cell r="T679">
            <v>8</v>
          </cell>
        </row>
        <row r="680">
          <cell r="A680">
            <v>9999564113</v>
          </cell>
          <cell r="B680" t="str">
            <v>65.111.08466-8</v>
          </cell>
          <cell r="C680" t="str">
            <v xml:space="preserve">SUP MOLA RETORNO TRAVA ROHS                         REV-02  </v>
          </cell>
          <cell r="D680" t="str">
            <v/>
          </cell>
          <cell r="E680" t="str">
            <v>KION IND E COM LT</v>
          </cell>
          <cell r="F680">
            <v>401</v>
          </cell>
          <cell r="G680">
            <v>44025</v>
          </cell>
          <cell r="H680">
            <v>668725</v>
          </cell>
          <cell r="I680" t="str">
            <v>K</v>
          </cell>
          <cell r="J680">
            <v>-21</v>
          </cell>
          <cell r="K680">
            <v>100</v>
          </cell>
          <cell r="L680">
            <v>100</v>
          </cell>
          <cell r="P680">
            <v>100</v>
          </cell>
          <cell r="Q680" t="str">
            <v>Trat. 10/08 - DIADEMA</v>
          </cell>
          <cell r="S680">
            <v>44081</v>
          </cell>
          <cell r="T680">
            <v>9</v>
          </cell>
        </row>
        <row r="681">
          <cell r="A681">
            <v>9999564114</v>
          </cell>
          <cell r="B681" t="str">
            <v>65.111.08466-8</v>
          </cell>
          <cell r="C681" t="str">
            <v xml:space="preserve">SUP MOLA RETORNO TRAVA ROHS                         REV-02  </v>
          </cell>
          <cell r="D681" t="str">
            <v/>
          </cell>
          <cell r="E681" t="str">
            <v>KION IND E COM LT</v>
          </cell>
          <cell r="F681">
            <v>401</v>
          </cell>
          <cell r="G681">
            <v>44025</v>
          </cell>
          <cell r="H681">
            <v>668725</v>
          </cell>
          <cell r="I681" t="str">
            <v>K</v>
          </cell>
          <cell r="J681">
            <v>-21</v>
          </cell>
          <cell r="K681">
            <v>100</v>
          </cell>
          <cell r="L681">
            <v>100</v>
          </cell>
          <cell r="P681">
            <v>100</v>
          </cell>
          <cell r="Q681" t="str">
            <v>Trat. 10/08 - DIADEMA</v>
          </cell>
          <cell r="S681">
            <v>44081</v>
          </cell>
          <cell r="T681">
            <v>9</v>
          </cell>
        </row>
        <row r="682">
          <cell r="A682">
            <v>9999564115</v>
          </cell>
          <cell r="B682" t="str">
            <v>65.111.08466-8</v>
          </cell>
          <cell r="C682" t="str">
            <v xml:space="preserve">SUP MOLA RETORNO TRAVA ROHS                         REV-02  </v>
          </cell>
          <cell r="D682" t="str">
            <v/>
          </cell>
          <cell r="E682" t="str">
            <v>KION IND E COM LT</v>
          </cell>
          <cell r="F682">
            <v>401</v>
          </cell>
          <cell r="G682">
            <v>44025</v>
          </cell>
          <cell r="H682">
            <v>668725</v>
          </cell>
          <cell r="I682" t="str">
            <v>K</v>
          </cell>
          <cell r="J682">
            <v>-21</v>
          </cell>
          <cell r="K682">
            <v>100</v>
          </cell>
          <cell r="L682">
            <v>100</v>
          </cell>
          <cell r="P682">
            <v>100</v>
          </cell>
          <cell r="Q682" t="str">
            <v>Trat. 10/08 - DIADEMA</v>
          </cell>
          <cell r="S682">
            <v>44081</v>
          </cell>
          <cell r="T682">
            <v>9</v>
          </cell>
        </row>
        <row r="683">
          <cell r="A683">
            <v>9999564107</v>
          </cell>
          <cell r="B683" t="str">
            <v>65.111.08466-8</v>
          </cell>
          <cell r="C683" t="str">
            <v xml:space="preserve">SUP MOLA RETORNO TRAVA ROHS                         REV-02  </v>
          </cell>
          <cell r="D683" t="str">
            <v/>
          </cell>
          <cell r="E683" t="str">
            <v>KION IND E COM LT</v>
          </cell>
          <cell r="F683">
            <v>401</v>
          </cell>
          <cell r="G683">
            <v>44011</v>
          </cell>
          <cell r="H683">
            <v>668725</v>
          </cell>
          <cell r="I683" t="str">
            <v>K</v>
          </cell>
          <cell r="J683">
            <v>-35</v>
          </cell>
          <cell r="K683">
            <v>100</v>
          </cell>
          <cell r="L683">
            <v>100</v>
          </cell>
          <cell r="P683">
            <v>100</v>
          </cell>
          <cell r="Q683" t="str">
            <v>Trat. 10/08 - DIADEMA</v>
          </cell>
          <cell r="S683">
            <v>44053</v>
          </cell>
          <cell r="T683">
            <v>5</v>
          </cell>
        </row>
        <row r="684">
          <cell r="A684">
            <v>130091</v>
          </cell>
          <cell r="B684" t="str">
            <v>65.116.00850-6</v>
          </cell>
          <cell r="C684" t="str">
            <v>SHUTTER PENTASIS BANDEIRA REDUZIDA                  REV-01</v>
          </cell>
          <cell r="D684" t="str">
            <v/>
          </cell>
          <cell r="E684" t="str">
            <v>KION IND E COM LT</v>
          </cell>
          <cell r="F684">
            <v>401</v>
          </cell>
          <cell r="G684">
            <v>44004</v>
          </cell>
          <cell r="H684">
            <v>376920</v>
          </cell>
          <cell r="I684" t="str">
            <v>K</v>
          </cell>
          <cell r="J684">
            <v>0</v>
          </cell>
          <cell r="K684">
            <v>90</v>
          </cell>
          <cell r="L684">
            <v>90</v>
          </cell>
          <cell r="N684">
            <v>90</v>
          </cell>
          <cell r="P684">
            <v>0</v>
          </cell>
          <cell r="Q684" t="str">
            <v>Trat. 01/07 - REALPOX</v>
          </cell>
          <cell r="T684">
            <v>9</v>
          </cell>
        </row>
        <row r="685">
          <cell r="A685">
            <v>9999564108</v>
          </cell>
          <cell r="B685" t="str">
            <v>65.111.08466-8</v>
          </cell>
          <cell r="C685" t="str">
            <v xml:space="preserve">SUP MOLA RETORNO TRAVA ROHS                         REV-02  </v>
          </cell>
          <cell r="D685" t="str">
            <v/>
          </cell>
          <cell r="E685" t="str">
            <v>KION IND E COM LT</v>
          </cell>
          <cell r="F685">
            <v>401</v>
          </cell>
          <cell r="G685">
            <v>44025</v>
          </cell>
          <cell r="H685">
            <v>668725</v>
          </cell>
          <cell r="I685" t="str">
            <v>K</v>
          </cell>
          <cell r="J685">
            <v>-21</v>
          </cell>
          <cell r="K685">
            <v>100</v>
          </cell>
          <cell r="L685">
            <v>100</v>
          </cell>
          <cell r="P685">
            <v>100</v>
          </cell>
          <cell r="Q685" t="str">
            <v>Trat. 10/08 - DIADEMA</v>
          </cell>
          <cell r="S685">
            <v>44053</v>
          </cell>
          <cell r="T685">
            <v>5</v>
          </cell>
        </row>
        <row r="686">
          <cell r="A686">
            <v>947123001</v>
          </cell>
          <cell r="B686" t="str">
            <v>65.111.08475-0</v>
          </cell>
          <cell r="C686" t="str">
            <v xml:space="preserve">MOLDURA ACION TAMPER EPP1217 ROHS                   REV-00  </v>
          </cell>
          <cell r="D686" t="str">
            <v/>
          </cell>
          <cell r="E686" t="str">
            <v>KION IND E COM LT</v>
          </cell>
          <cell r="F686">
            <v>401</v>
          </cell>
          <cell r="G686">
            <v>43507</v>
          </cell>
          <cell r="H686">
            <v>370993</v>
          </cell>
          <cell r="J686">
            <v>-539</v>
          </cell>
          <cell r="K686">
            <v>2</v>
          </cell>
          <cell r="L686">
            <v>2</v>
          </cell>
          <cell r="P686">
            <v>2</v>
          </cell>
          <cell r="Q686" t="str">
            <v>ENGENHARIA</v>
          </cell>
          <cell r="T686" t="str">
            <v>S Con</v>
          </cell>
        </row>
        <row r="687">
          <cell r="A687">
            <v>982074761</v>
          </cell>
          <cell r="B687" t="str">
            <v>65.111.08493-4</v>
          </cell>
          <cell r="C687" t="str">
            <v xml:space="preserve">SUPT TRAVA SNBC ATMR 6750 TR SANTANDER              REV-00  </v>
          </cell>
          <cell r="D687" t="str">
            <v/>
          </cell>
          <cell r="E687" t="str">
            <v>KION IND E COM LT</v>
          </cell>
          <cell r="F687">
            <v>401</v>
          </cell>
          <cell r="G687">
            <v>44067</v>
          </cell>
          <cell r="H687">
            <v>377859</v>
          </cell>
          <cell r="J687">
            <v>21</v>
          </cell>
          <cell r="K687">
            <v>250</v>
          </cell>
          <cell r="L687">
            <v>250</v>
          </cell>
          <cell r="P687">
            <v>250</v>
          </cell>
          <cell r="Q687" t="str">
            <v>OP 03/08 - FM</v>
          </cell>
          <cell r="S687">
            <v>44067</v>
          </cell>
          <cell r="T687">
            <v>7</v>
          </cell>
        </row>
        <row r="688">
          <cell r="A688">
            <v>982074762</v>
          </cell>
          <cell r="B688" t="str">
            <v>65.111.08493-4</v>
          </cell>
          <cell r="C688" t="str">
            <v xml:space="preserve">SUPT TRAVA SNBC ATMR 6750 TR SANTANDER              REV-00  </v>
          </cell>
          <cell r="D688" t="str">
            <v/>
          </cell>
          <cell r="E688" t="str">
            <v>KION IND E COM LT</v>
          </cell>
          <cell r="F688">
            <v>401</v>
          </cell>
          <cell r="G688">
            <v>44095</v>
          </cell>
          <cell r="H688">
            <v>377859</v>
          </cell>
          <cell r="J688">
            <v>49</v>
          </cell>
          <cell r="K688">
            <v>200</v>
          </cell>
          <cell r="L688">
            <v>200</v>
          </cell>
          <cell r="P688">
            <v>200</v>
          </cell>
          <cell r="Q688" t="str">
            <v/>
          </cell>
          <cell r="S688">
            <v>44088</v>
          </cell>
          <cell r="T688">
            <v>10</v>
          </cell>
        </row>
        <row r="689">
          <cell r="A689">
            <v>982074763</v>
          </cell>
          <cell r="B689" t="str">
            <v>65.111.08493-4</v>
          </cell>
          <cell r="C689" t="str">
            <v xml:space="preserve">SUPT TRAVA SNBC ATMR 6750 TR SANTANDER              REV-00  </v>
          </cell>
          <cell r="D689" t="str">
            <v/>
          </cell>
          <cell r="E689" t="str">
            <v>KION IND E COM LT</v>
          </cell>
          <cell r="F689">
            <v>401</v>
          </cell>
          <cell r="G689">
            <v>44123</v>
          </cell>
          <cell r="H689">
            <v>377859</v>
          </cell>
          <cell r="J689">
            <v>77</v>
          </cell>
          <cell r="K689">
            <v>200</v>
          </cell>
          <cell r="L689">
            <v>200</v>
          </cell>
          <cell r="P689">
            <v>200</v>
          </cell>
          <cell r="Q689" t="str">
            <v/>
          </cell>
          <cell r="S689">
            <v>44109</v>
          </cell>
          <cell r="T689">
            <v>13</v>
          </cell>
        </row>
        <row r="690">
          <cell r="A690">
            <v>982074321</v>
          </cell>
          <cell r="B690" t="str">
            <v>65.111.08496-5</v>
          </cell>
          <cell r="C690" t="str">
            <v xml:space="preserve">TRAVA TRANSP SNBC ATMR 6750 TR SANTANDER            REV-01  </v>
          </cell>
          <cell r="D690" t="str">
            <v/>
          </cell>
          <cell r="E690" t="str">
            <v>KION IND E COM LT</v>
          </cell>
          <cell r="F690">
            <v>401</v>
          </cell>
          <cell r="G690">
            <v>44067</v>
          </cell>
          <cell r="H690">
            <v>377859</v>
          </cell>
          <cell r="J690">
            <v>21</v>
          </cell>
          <cell r="K690">
            <v>250</v>
          </cell>
          <cell r="L690">
            <v>250</v>
          </cell>
          <cell r="P690">
            <v>250</v>
          </cell>
          <cell r="Q690" t="str">
            <v>OP 03/08 - FM</v>
          </cell>
          <cell r="S690">
            <v>44067</v>
          </cell>
          <cell r="T690">
            <v>7</v>
          </cell>
        </row>
        <row r="691">
          <cell r="A691">
            <v>982074322</v>
          </cell>
          <cell r="B691" t="str">
            <v>65.111.08496-5</v>
          </cell>
          <cell r="C691" t="str">
            <v xml:space="preserve">TRAVA TRANSP SNBC ATMR 6750 TR SANTANDER            REV-01  </v>
          </cell>
          <cell r="D691" t="str">
            <v/>
          </cell>
          <cell r="E691" t="str">
            <v>KION IND E COM LT</v>
          </cell>
          <cell r="F691">
            <v>401</v>
          </cell>
          <cell r="G691">
            <v>44095</v>
          </cell>
          <cell r="H691">
            <v>377859</v>
          </cell>
          <cell r="J691">
            <v>49</v>
          </cell>
          <cell r="K691">
            <v>200</v>
          </cell>
          <cell r="L691">
            <v>200</v>
          </cell>
          <cell r="P691">
            <v>200</v>
          </cell>
          <cell r="Q691" t="str">
            <v/>
          </cell>
          <cell r="S691">
            <v>44088</v>
          </cell>
          <cell r="T691">
            <v>10</v>
          </cell>
        </row>
        <row r="692">
          <cell r="A692">
            <v>982074323</v>
          </cell>
          <cell r="B692" t="str">
            <v>65.111.08496-5</v>
          </cell>
          <cell r="C692" t="str">
            <v xml:space="preserve">TRAVA TRANSP SNBC ATMR 6750 TR SANTANDER            REV-01  </v>
          </cell>
          <cell r="D692" t="str">
            <v/>
          </cell>
          <cell r="E692" t="str">
            <v>KION IND E COM LT</v>
          </cell>
          <cell r="F692">
            <v>401</v>
          </cell>
          <cell r="G692">
            <v>44123</v>
          </cell>
          <cell r="H692">
            <v>377859</v>
          </cell>
          <cell r="J692">
            <v>77</v>
          </cell>
          <cell r="K692">
            <v>200</v>
          </cell>
          <cell r="L692">
            <v>200</v>
          </cell>
          <cell r="P692">
            <v>200</v>
          </cell>
          <cell r="Q692" t="str">
            <v/>
          </cell>
          <cell r="S692">
            <v>44109</v>
          </cell>
          <cell r="T692">
            <v>13</v>
          </cell>
        </row>
        <row r="693">
          <cell r="A693">
            <v>202615309</v>
          </cell>
          <cell r="B693" t="str">
            <v>65.120.00018-1</v>
          </cell>
          <cell r="C693" t="str">
            <v>PROT SENS IMA PT GABIN OPTEVA  ROHS                 REV-01</v>
          </cell>
          <cell r="D693" t="str">
            <v/>
          </cell>
          <cell r="E693" t="str">
            <v>KION IND E COM LT</v>
          </cell>
          <cell r="F693">
            <v>401</v>
          </cell>
          <cell r="G693">
            <v>43997</v>
          </cell>
          <cell r="H693">
            <v>668725</v>
          </cell>
          <cell r="I693" t="str">
            <v>K</v>
          </cell>
          <cell r="J693">
            <v>0</v>
          </cell>
          <cell r="K693">
            <v>100</v>
          </cell>
          <cell r="L693">
            <v>100</v>
          </cell>
          <cell r="M693">
            <v>100</v>
          </cell>
          <cell r="P693">
            <v>0</v>
          </cell>
          <cell r="Q693" t="str">
            <v>Trat. 03/07 - 1340p - NOVALUMIX</v>
          </cell>
          <cell r="T693">
            <v>9</v>
          </cell>
        </row>
        <row r="694">
          <cell r="A694">
            <v>202615310</v>
          </cell>
          <cell r="B694" t="str">
            <v>65.120.00018-1</v>
          </cell>
          <cell r="C694" t="str">
            <v>PROT SENS IMA PT GABIN OPTEVA  ROHS                 REV-01</v>
          </cell>
          <cell r="D694" t="str">
            <v/>
          </cell>
          <cell r="E694" t="str">
            <v>KION IND E COM LT</v>
          </cell>
          <cell r="F694">
            <v>401</v>
          </cell>
          <cell r="G694">
            <v>43997</v>
          </cell>
          <cell r="H694">
            <v>668725</v>
          </cell>
          <cell r="I694" t="str">
            <v>K</v>
          </cell>
          <cell r="J694">
            <v>0</v>
          </cell>
          <cell r="K694">
            <v>100</v>
          </cell>
          <cell r="L694">
            <v>100</v>
          </cell>
          <cell r="M694">
            <v>100</v>
          </cell>
          <cell r="P694">
            <v>0</v>
          </cell>
          <cell r="Q694" t="str">
            <v>Trat. 03/07 - NOVALUMIX</v>
          </cell>
          <cell r="T694">
            <v>9</v>
          </cell>
        </row>
        <row r="695">
          <cell r="A695">
            <v>982074432</v>
          </cell>
          <cell r="B695" t="str">
            <v>65.111.08518-0</v>
          </cell>
          <cell r="C695" t="str">
            <v xml:space="preserve">SUPORTE HUB RECIC RM4H SANTANDER                    REV-00  </v>
          </cell>
          <cell r="D695" t="str">
            <v>29-009105-000C</v>
          </cell>
          <cell r="E695" t="str">
            <v>KION IND E COM LT</v>
          </cell>
          <cell r="F695">
            <v>401</v>
          </cell>
          <cell r="G695">
            <v>44095</v>
          </cell>
          <cell r="H695">
            <v>377859</v>
          </cell>
          <cell r="J695">
            <v>49</v>
          </cell>
          <cell r="K695">
            <v>200</v>
          </cell>
          <cell r="L695">
            <v>200</v>
          </cell>
          <cell r="P695">
            <v>200</v>
          </cell>
          <cell r="Q695" t="str">
            <v>Trat. 03/08 - ZF</v>
          </cell>
          <cell r="S695">
            <v>44074</v>
          </cell>
          <cell r="T695">
            <v>8</v>
          </cell>
        </row>
        <row r="696">
          <cell r="A696">
            <v>982074433</v>
          </cell>
          <cell r="B696" t="str">
            <v>65.111.08518-0</v>
          </cell>
          <cell r="C696" t="str">
            <v xml:space="preserve">SUPORTE HUB RECIC RM4H SANTANDER                    REV-00  </v>
          </cell>
          <cell r="D696" t="str">
            <v>29-009105-000C</v>
          </cell>
          <cell r="E696" t="str">
            <v>KION IND E COM LT</v>
          </cell>
          <cell r="F696">
            <v>401</v>
          </cell>
          <cell r="G696">
            <v>44123</v>
          </cell>
          <cell r="H696">
            <v>377859</v>
          </cell>
          <cell r="J696">
            <v>77</v>
          </cell>
          <cell r="K696">
            <v>210</v>
          </cell>
          <cell r="L696">
            <v>210</v>
          </cell>
          <cell r="P696">
            <v>210</v>
          </cell>
          <cell r="Q696" t="str">
            <v/>
          </cell>
          <cell r="S696">
            <v>44088</v>
          </cell>
          <cell r="T696">
            <v>10</v>
          </cell>
        </row>
        <row r="697">
          <cell r="A697">
            <v>982088451</v>
          </cell>
          <cell r="B697" t="str">
            <v>65.111.08518-0</v>
          </cell>
          <cell r="C697" t="str">
            <v xml:space="preserve">SUPORTE HUB RECIC RM4H SANTANDER                    REV-00  </v>
          </cell>
          <cell r="D697" t="str">
            <v>29-009105-000C</v>
          </cell>
          <cell r="E697" t="str">
            <v>KION IND E COM LT</v>
          </cell>
          <cell r="F697">
            <v>401</v>
          </cell>
          <cell r="G697">
            <v>44123</v>
          </cell>
          <cell r="H697">
            <v>377860</v>
          </cell>
          <cell r="J697">
            <v>77</v>
          </cell>
          <cell r="K697">
            <v>100</v>
          </cell>
          <cell r="L697">
            <v>100</v>
          </cell>
          <cell r="P697">
            <v>100</v>
          </cell>
          <cell r="Q697" t="str">
            <v/>
          </cell>
          <cell r="S697">
            <v>44109</v>
          </cell>
          <cell r="T697">
            <v>13</v>
          </cell>
        </row>
        <row r="698">
          <cell r="A698">
            <v>982074431</v>
          </cell>
          <cell r="B698" t="str">
            <v>65.111.08518-0</v>
          </cell>
          <cell r="C698" t="str">
            <v xml:space="preserve">SUPORTE HUB RECIC RM4H SANTANDER                    REV-00  </v>
          </cell>
          <cell r="D698" t="str">
            <v>29-009105-000C</v>
          </cell>
          <cell r="E698" t="str">
            <v>KION IND E COM LT</v>
          </cell>
          <cell r="F698">
            <v>401</v>
          </cell>
          <cell r="G698">
            <v>44067</v>
          </cell>
          <cell r="H698">
            <v>377859</v>
          </cell>
          <cell r="J698">
            <v>21</v>
          </cell>
          <cell r="K698">
            <v>250</v>
          </cell>
          <cell r="L698">
            <v>250</v>
          </cell>
          <cell r="P698">
            <v>250</v>
          </cell>
          <cell r="Q698" t="str">
            <v>material em tratamento superficial - previsão de entrega até 07/08</v>
          </cell>
          <cell r="S698">
            <v>44053</v>
          </cell>
          <cell r="T698">
            <v>5</v>
          </cell>
        </row>
        <row r="699">
          <cell r="A699">
            <v>982074041</v>
          </cell>
          <cell r="B699" t="str">
            <v>65.111.08519-7</v>
          </cell>
          <cell r="C699" t="str">
            <v xml:space="preserve">SUP TRAVA ESQ PNL BB ROHS                           REV-00  </v>
          </cell>
          <cell r="D699" t="str">
            <v>29-009678-B OU JS-M8-1</v>
          </cell>
          <cell r="E699" t="str">
            <v>KION IND E COM LT</v>
          </cell>
          <cell r="F699">
            <v>401</v>
          </cell>
          <cell r="G699">
            <v>44067</v>
          </cell>
          <cell r="H699">
            <v>377859</v>
          </cell>
          <cell r="J699">
            <v>21</v>
          </cell>
          <cell r="K699">
            <v>260</v>
          </cell>
          <cell r="L699">
            <v>260</v>
          </cell>
          <cell r="P699">
            <v>260</v>
          </cell>
          <cell r="Q699" t="str">
            <v>OP 22/07 - JH</v>
          </cell>
          <cell r="S699">
            <v>44067</v>
          </cell>
          <cell r="T699">
            <v>7</v>
          </cell>
        </row>
        <row r="700">
          <cell r="A700">
            <v>982074042</v>
          </cell>
          <cell r="B700" t="str">
            <v>65.111.08519-7</v>
          </cell>
          <cell r="C700" t="str">
            <v xml:space="preserve">SUP TRAVA ESQ PNL BB ROHS                           REV-00  </v>
          </cell>
          <cell r="D700" t="str">
            <v>29-009678-B OU JS-M8-1</v>
          </cell>
          <cell r="E700" t="str">
            <v>KION IND E COM LT</v>
          </cell>
          <cell r="F700">
            <v>401</v>
          </cell>
          <cell r="G700">
            <v>44095</v>
          </cell>
          <cell r="H700">
            <v>377859</v>
          </cell>
          <cell r="J700">
            <v>49</v>
          </cell>
          <cell r="K700">
            <v>200</v>
          </cell>
          <cell r="L700">
            <v>200</v>
          </cell>
          <cell r="P700">
            <v>200</v>
          </cell>
          <cell r="Q700" t="str">
            <v>OP 22/07 - JH</v>
          </cell>
          <cell r="S700">
            <v>44074</v>
          </cell>
          <cell r="T700">
            <v>8</v>
          </cell>
        </row>
        <row r="701">
          <cell r="A701">
            <v>982074043</v>
          </cell>
          <cell r="B701" t="str">
            <v>65.111.08519-7</v>
          </cell>
          <cell r="C701" t="str">
            <v xml:space="preserve">SUP TRAVA ESQ PNL BB ROHS                           REV-00  </v>
          </cell>
          <cell r="D701" t="str">
            <v>29-009678-B OU JS-M8-1</v>
          </cell>
          <cell r="E701" t="str">
            <v>KION IND E COM LT</v>
          </cell>
          <cell r="F701">
            <v>401</v>
          </cell>
          <cell r="G701">
            <v>44123</v>
          </cell>
          <cell r="H701">
            <v>377859</v>
          </cell>
          <cell r="J701">
            <v>77</v>
          </cell>
          <cell r="K701">
            <v>200</v>
          </cell>
          <cell r="L701">
            <v>200</v>
          </cell>
          <cell r="P701">
            <v>200</v>
          </cell>
          <cell r="Q701" t="str">
            <v/>
          </cell>
          <cell r="S701">
            <v>44088</v>
          </cell>
          <cell r="T701">
            <v>10</v>
          </cell>
        </row>
        <row r="702">
          <cell r="A702">
            <v>982088471</v>
          </cell>
          <cell r="B702" t="str">
            <v>65.111.08519-7</v>
          </cell>
          <cell r="C702" t="str">
            <v xml:space="preserve">SUP TRAVA ESQ PNL BB ROHS                           REV-00  </v>
          </cell>
          <cell r="D702" t="str">
            <v>29-009678-B OU JS-M8-1</v>
          </cell>
          <cell r="E702" t="str">
            <v>KION IND E COM LT</v>
          </cell>
          <cell r="F702">
            <v>401</v>
          </cell>
          <cell r="G702">
            <v>44123</v>
          </cell>
          <cell r="H702">
            <v>377860</v>
          </cell>
          <cell r="J702">
            <v>77</v>
          </cell>
          <cell r="K702">
            <v>100</v>
          </cell>
          <cell r="L702">
            <v>100</v>
          </cell>
          <cell r="P702">
            <v>100</v>
          </cell>
          <cell r="Q702" t="str">
            <v/>
          </cell>
          <cell r="S702">
            <v>44109</v>
          </cell>
          <cell r="T702">
            <v>13</v>
          </cell>
        </row>
        <row r="703">
          <cell r="A703">
            <v>982089191</v>
          </cell>
          <cell r="B703" t="str">
            <v>65.111.08523-4</v>
          </cell>
          <cell r="C703" t="str">
            <v xml:space="preserve">SUPORTE TECLADO FUNCAO ATM4500 SANTANDER            REV-00  </v>
          </cell>
          <cell r="D703" t="str">
            <v/>
          </cell>
          <cell r="E703" t="str">
            <v>KION IND E COM LT</v>
          </cell>
          <cell r="F703">
            <v>401</v>
          </cell>
          <cell r="G703">
            <v>44074</v>
          </cell>
          <cell r="H703">
            <v>377860</v>
          </cell>
          <cell r="J703">
            <v>28</v>
          </cell>
          <cell r="K703">
            <v>200</v>
          </cell>
          <cell r="L703">
            <v>200</v>
          </cell>
          <cell r="P703">
            <v>200</v>
          </cell>
          <cell r="Q703" t="str">
            <v>material em tratamento superficial - previsão de entrega até 06/08</v>
          </cell>
          <cell r="S703" t="str">
            <v>Imediato</v>
          </cell>
          <cell r="T703">
            <v>1</v>
          </cell>
        </row>
        <row r="704">
          <cell r="A704">
            <v>982069021</v>
          </cell>
          <cell r="B704" t="str">
            <v>65.111.08527-2</v>
          </cell>
          <cell r="C704" t="str">
            <v xml:space="preserve">SUPORTE PROTECAO CABOS RECYCLING RM4                REV-00  </v>
          </cell>
          <cell r="D704" t="str">
            <v/>
          </cell>
          <cell r="E704" t="str">
            <v>KION IND E COM LT</v>
          </cell>
          <cell r="F704">
            <v>401</v>
          </cell>
          <cell r="G704">
            <v>44039</v>
          </cell>
          <cell r="H704">
            <v>377859</v>
          </cell>
          <cell r="J704">
            <v>-7</v>
          </cell>
          <cell r="K704">
            <v>4775</v>
          </cell>
          <cell r="L704">
            <v>4775</v>
          </cell>
          <cell r="P704">
            <v>4775</v>
          </cell>
          <cell r="Q704" t="str">
            <v>Trat. 03/08 - 4980p - DIADEMA</v>
          </cell>
          <cell r="S704">
            <v>44067</v>
          </cell>
          <cell r="T704">
            <v>7</v>
          </cell>
        </row>
        <row r="705">
          <cell r="A705">
            <v>978759002</v>
          </cell>
          <cell r="B705" t="str">
            <v>65.111.08527-2</v>
          </cell>
          <cell r="C705" t="str">
            <v xml:space="preserve">SUPORTE PROTECAO CABOS RECYCLING RM4                REV-00  </v>
          </cell>
          <cell r="D705" t="str">
            <v/>
          </cell>
          <cell r="E705" t="str">
            <v>KION IND E COM LT</v>
          </cell>
          <cell r="F705">
            <v>401</v>
          </cell>
          <cell r="G705">
            <v>44046</v>
          </cell>
          <cell r="H705">
            <v>376920</v>
          </cell>
          <cell r="J705">
            <v>0</v>
          </cell>
          <cell r="K705">
            <v>2400</v>
          </cell>
          <cell r="L705">
            <v>2400</v>
          </cell>
          <cell r="N705">
            <v>2100</v>
          </cell>
          <cell r="P705">
            <v>300</v>
          </cell>
          <cell r="Q705" t="str">
            <v>Trat. 22/07 - 2500p - ZF</v>
          </cell>
          <cell r="S705">
            <v>44081</v>
          </cell>
          <cell r="T705">
            <v>9</v>
          </cell>
        </row>
        <row r="706">
          <cell r="A706">
            <v>982069022</v>
          </cell>
          <cell r="B706" t="str">
            <v>65.111.08527-2</v>
          </cell>
          <cell r="C706" t="str">
            <v xml:space="preserve">SUPORTE PROTECAO CABOS RECYCLING RM4                REV-00  </v>
          </cell>
          <cell r="D706" t="str">
            <v/>
          </cell>
          <cell r="E706" t="str">
            <v>KION IND E COM LT</v>
          </cell>
          <cell r="F706">
            <v>401</v>
          </cell>
          <cell r="G706">
            <v>44067</v>
          </cell>
          <cell r="H706">
            <v>377859</v>
          </cell>
          <cell r="J706">
            <v>21</v>
          </cell>
          <cell r="K706">
            <v>3380</v>
          </cell>
          <cell r="L706">
            <v>3380</v>
          </cell>
          <cell r="P706">
            <v>3380</v>
          </cell>
          <cell r="Q706" t="str">
            <v/>
          </cell>
          <cell r="S706">
            <v>44088</v>
          </cell>
          <cell r="T706">
            <v>10</v>
          </cell>
        </row>
        <row r="707">
          <cell r="A707">
            <v>982069023</v>
          </cell>
          <cell r="B707" t="str">
            <v>65.111.08527-2</v>
          </cell>
          <cell r="C707" t="str">
            <v xml:space="preserve">SUPORTE PROTECAO CABOS RECYCLING RM4                REV-00  </v>
          </cell>
          <cell r="D707" t="str">
            <v/>
          </cell>
          <cell r="E707" t="str">
            <v>KION IND E COM LT</v>
          </cell>
          <cell r="F707">
            <v>401</v>
          </cell>
          <cell r="G707">
            <v>44095</v>
          </cell>
          <cell r="H707">
            <v>377859</v>
          </cell>
          <cell r="J707">
            <v>49</v>
          </cell>
          <cell r="K707">
            <v>4000</v>
          </cell>
          <cell r="L707">
            <v>4000</v>
          </cell>
          <cell r="P707">
            <v>4000</v>
          </cell>
          <cell r="Q707" t="str">
            <v/>
          </cell>
          <cell r="S707">
            <v>44095</v>
          </cell>
          <cell r="T707">
            <v>11</v>
          </cell>
        </row>
        <row r="708">
          <cell r="A708">
            <v>982069024</v>
          </cell>
          <cell r="B708" t="str">
            <v>65.111.08527-2</v>
          </cell>
          <cell r="C708" t="str">
            <v xml:space="preserve">SUPORTE PROTECAO CABOS RECYCLING RM4                REV-00  </v>
          </cell>
          <cell r="D708" t="str">
            <v/>
          </cell>
          <cell r="E708" t="str">
            <v>KION IND E COM LT</v>
          </cell>
          <cell r="F708">
            <v>401</v>
          </cell>
          <cell r="G708">
            <v>44130</v>
          </cell>
          <cell r="H708">
            <v>377859</v>
          </cell>
          <cell r="J708">
            <v>84</v>
          </cell>
          <cell r="K708">
            <v>160</v>
          </cell>
          <cell r="L708">
            <v>160</v>
          </cell>
          <cell r="P708">
            <v>160</v>
          </cell>
          <cell r="Q708" t="str">
            <v/>
          </cell>
          <cell r="S708" t="str">
            <v>DF</v>
          </cell>
          <cell r="T708" t="str">
            <v>DF</v>
          </cell>
        </row>
        <row r="709">
          <cell r="A709">
            <v>982088681</v>
          </cell>
          <cell r="B709" t="str">
            <v>65.111.08527-2</v>
          </cell>
          <cell r="C709" t="str">
            <v xml:space="preserve">SUPORTE PROTECAO CABOS RECYCLING RM4                REV-00  </v>
          </cell>
          <cell r="D709" t="str">
            <v/>
          </cell>
          <cell r="E709" t="str">
            <v>KION IND E COM LT</v>
          </cell>
          <cell r="F709">
            <v>401</v>
          </cell>
          <cell r="G709">
            <v>44130</v>
          </cell>
          <cell r="H709">
            <v>377860</v>
          </cell>
          <cell r="J709">
            <v>84</v>
          </cell>
          <cell r="K709">
            <v>1000</v>
          </cell>
          <cell r="L709">
            <v>1000</v>
          </cell>
          <cell r="P709">
            <v>1000</v>
          </cell>
          <cell r="Q709" t="str">
            <v/>
          </cell>
          <cell r="S709" t="str">
            <v>DF</v>
          </cell>
          <cell r="T709" t="str">
            <v>DF</v>
          </cell>
        </row>
        <row r="710">
          <cell r="A710">
            <v>982070111</v>
          </cell>
          <cell r="B710" t="str">
            <v>65.111.08529-6</v>
          </cell>
          <cell r="C710" t="str">
            <v xml:space="preserve">TRAVA RELOCKER FECH PRINCIPAL ATMR 6750 TR ITAU     REV-00  </v>
          </cell>
          <cell r="D710" t="str">
            <v/>
          </cell>
          <cell r="E710" t="str">
            <v>KION IND E COM LT</v>
          </cell>
          <cell r="F710">
            <v>401</v>
          </cell>
          <cell r="G710">
            <v>44060</v>
          </cell>
          <cell r="H710">
            <v>377859</v>
          </cell>
          <cell r="J710">
            <v>14</v>
          </cell>
          <cell r="K710">
            <v>350</v>
          </cell>
          <cell r="L710">
            <v>350</v>
          </cell>
          <cell r="P710">
            <v>350</v>
          </cell>
          <cell r="Q710" t="str">
            <v>Trat. 27/07 - DIADEMA</v>
          </cell>
          <cell r="S710">
            <v>44060</v>
          </cell>
          <cell r="T710">
            <v>6</v>
          </cell>
        </row>
        <row r="711">
          <cell r="A711">
            <v>982070112</v>
          </cell>
          <cell r="B711" t="str">
            <v>65.111.08529-6</v>
          </cell>
          <cell r="C711" t="str">
            <v xml:space="preserve">TRAVA RELOCKER FECH PRINCIPAL ATMR 6750 TR ITAU     REV-00  </v>
          </cell>
          <cell r="D711" t="str">
            <v/>
          </cell>
          <cell r="E711" t="str">
            <v>KION IND E COM LT</v>
          </cell>
          <cell r="F711">
            <v>401</v>
          </cell>
          <cell r="G711">
            <v>44081</v>
          </cell>
          <cell r="H711">
            <v>377859</v>
          </cell>
          <cell r="J711">
            <v>35</v>
          </cell>
          <cell r="K711">
            <v>300</v>
          </cell>
          <cell r="L711">
            <v>300</v>
          </cell>
          <cell r="P711">
            <v>300</v>
          </cell>
          <cell r="Q711" t="str">
            <v/>
          </cell>
          <cell r="S711">
            <v>44081</v>
          </cell>
          <cell r="T711">
            <v>9</v>
          </cell>
        </row>
        <row r="712">
          <cell r="A712">
            <v>982074841</v>
          </cell>
          <cell r="B712" t="str">
            <v>65.111.08559-3</v>
          </cell>
          <cell r="C712" t="str">
            <v xml:space="preserve">SUP PROT CABOS ROHS                                 REV-02  </v>
          </cell>
          <cell r="D712" t="str">
            <v/>
          </cell>
          <cell r="E712" t="str">
            <v>KION IND E COM LT</v>
          </cell>
          <cell r="F712">
            <v>401</v>
          </cell>
          <cell r="G712">
            <v>44067</v>
          </cell>
          <cell r="H712">
            <v>377859</v>
          </cell>
          <cell r="J712">
            <v>21</v>
          </cell>
          <cell r="K712">
            <v>250</v>
          </cell>
          <cell r="L712">
            <v>250</v>
          </cell>
          <cell r="P712">
            <v>250</v>
          </cell>
          <cell r="Q712" t="str">
            <v/>
          </cell>
          <cell r="S712">
            <v>44067</v>
          </cell>
          <cell r="T712">
            <v>7</v>
          </cell>
        </row>
        <row r="713">
          <cell r="A713">
            <v>982074842</v>
          </cell>
          <cell r="B713" t="str">
            <v>65.111.08559-3</v>
          </cell>
          <cell r="C713" t="str">
            <v xml:space="preserve">SUP PROT CABOS ROHS                                 REV-02  </v>
          </cell>
          <cell r="D713" t="str">
            <v/>
          </cell>
          <cell r="E713" t="str">
            <v>KION IND E COM LT</v>
          </cell>
          <cell r="F713">
            <v>401</v>
          </cell>
          <cell r="G713">
            <v>44095</v>
          </cell>
          <cell r="H713">
            <v>377859</v>
          </cell>
          <cell r="J713">
            <v>49</v>
          </cell>
          <cell r="K713">
            <v>200</v>
          </cell>
          <cell r="L713">
            <v>200</v>
          </cell>
          <cell r="P713">
            <v>200</v>
          </cell>
          <cell r="Q713" t="str">
            <v/>
          </cell>
          <cell r="S713">
            <v>44088</v>
          </cell>
          <cell r="T713">
            <v>10</v>
          </cell>
        </row>
        <row r="714">
          <cell r="A714">
            <v>982074843</v>
          </cell>
          <cell r="B714" t="str">
            <v>65.111.08559-3</v>
          </cell>
          <cell r="C714" t="str">
            <v xml:space="preserve">SUP PROT CABOS ROHS                                 REV-02  </v>
          </cell>
          <cell r="D714" t="str">
            <v/>
          </cell>
          <cell r="E714" t="str">
            <v>KION IND E COM LT</v>
          </cell>
          <cell r="F714">
            <v>401</v>
          </cell>
          <cell r="G714">
            <v>44123</v>
          </cell>
          <cell r="H714">
            <v>377859</v>
          </cell>
          <cell r="J714">
            <v>77</v>
          </cell>
          <cell r="K714">
            <v>200</v>
          </cell>
          <cell r="L714">
            <v>200</v>
          </cell>
          <cell r="P714">
            <v>200</v>
          </cell>
          <cell r="Q714" t="str">
            <v/>
          </cell>
          <cell r="S714">
            <v>44109</v>
          </cell>
          <cell r="T714">
            <v>13</v>
          </cell>
        </row>
        <row r="715">
          <cell r="A715">
            <v>982074442</v>
          </cell>
          <cell r="B715" t="str">
            <v>65.111.08562-3</v>
          </cell>
          <cell r="C715" t="str">
            <v xml:space="preserve">SUP FIX IMA SENSOR ABT ROHS                         REV-01  </v>
          </cell>
          <cell r="D715" t="str">
            <v/>
          </cell>
          <cell r="E715" t="str">
            <v>KION IND E COM LT</v>
          </cell>
          <cell r="F715">
            <v>401</v>
          </cell>
          <cell r="G715">
            <v>44095</v>
          </cell>
          <cell r="H715">
            <v>377859</v>
          </cell>
          <cell r="J715">
            <v>49</v>
          </cell>
          <cell r="K715">
            <v>200</v>
          </cell>
          <cell r="L715">
            <v>200</v>
          </cell>
          <cell r="P715">
            <v>200</v>
          </cell>
          <cell r="Q715" t="str">
            <v>OP 22/07 - JH</v>
          </cell>
          <cell r="S715">
            <v>44074</v>
          </cell>
          <cell r="T715">
            <v>8</v>
          </cell>
        </row>
        <row r="716">
          <cell r="A716">
            <v>982074443</v>
          </cell>
          <cell r="B716" t="str">
            <v>65.111.08562-3</v>
          </cell>
          <cell r="C716" t="str">
            <v xml:space="preserve">SUP FIX IMA SENSOR ABT ROHS                         REV-01  </v>
          </cell>
          <cell r="D716" t="str">
            <v/>
          </cell>
          <cell r="E716" t="str">
            <v>KION IND E COM LT</v>
          </cell>
          <cell r="F716">
            <v>401</v>
          </cell>
          <cell r="G716">
            <v>44123</v>
          </cell>
          <cell r="H716">
            <v>377859</v>
          </cell>
          <cell r="J716">
            <v>77</v>
          </cell>
          <cell r="K716">
            <v>200</v>
          </cell>
          <cell r="L716">
            <v>200</v>
          </cell>
          <cell r="P716">
            <v>200</v>
          </cell>
          <cell r="Q716" t="str">
            <v/>
          </cell>
          <cell r="S716">
            <v>44088</v>
          </cell>
          <cell r="T716">
            <v>10</v>
          </cell>
        </row>
        <row r="717">
          <cell r="A717">
            <v>982088461</v>
          </cell>
          <cell r="B717" t="str">
            <v>65.111.08562-3</v>
          </cell>
          <cell r="C717" t="str">
            <v xml:space="preserve">SUP FIX IMA SENSOR ABT ROHS                         REV-01  </v>
          </cell>
          <cell r="D717" t="str">
            <v/>
          </cell>
          <cell r="E717" t="str">
            <v>KION IND E COM LT</v>
          </cell>
          <cell r="F717">
            <v>401</v>
          </cell>
          <cell r="G717">
            <v>44123</v>
          </cell>
          <cell r="H717">
            <v>377860</v>
          </cell>
          <cell r="J717">
            <v>77</v>
          </cell>
          <cell r="K717">
            <v>100</v>
          </cell>
          <cell r="L717">
            <v>100</v>
          </cell>
          <cell r="P717">
            <v>100</v>
          </cell>
          <cell r="Q717" t="str">
            <v/>
          </cell>
          <cell r="S717">
            <v>44109</v>
          </cell>
          <cell r="T717">
            <v>13</v>
          </cell>
        </row>
        <row r="718">
          <cell r="A718">
            <v>982074441</v>
          </cell>
          <cell r="B718" t="str">
            <v>65.111.08562-3</v>
          </cell>
          <cell r="C718" t="str">
            <v xml:space="preserve">SUP FIX IMA SENSOR ABT ROHS                         REV-01  </v>
          </cell>
          <cell r="D718" t="str">
            <v/>
          </cell>
          <cell r="E718" t="str">
            <v>KION IND E COM LT</v>
          </cell>
          <cell r="F718">
            <v>401</v>
          </cell>
          <cell r="G718">
            <v>44067</v>
          </cell>
          <cell r="H718">
            <v>377859</v>
          </cell>
          <cell r="J718">
            <v>21</v>
          </cell>
          <cell r="K718">
            <v>260</v>
          </cell>
          <cell r="L718">
            <v>260</v>
          </cell>
          <cell r="P718">
            <v>260</v>
          </cell>
          <cell r="Q718" t="str">
            <v>material em tratamento superficial - previsão de entrega até 07/08</v>
          </cell>
          <cell r="S718">
            <v>44053</v>
          </cell>
          <cell r="T718">
            <v>5</v>
          </cell>
        </row>
        <row r="719">
          <cell r="A719">
            <v>982074251</v>
          </cell>
          <cell r="B719" t="str">
            <v>65.111.08564-7</v>
          </cell>
          <cell r="C719" t="str">
            <v>TRAVA TRANSP IMPRESSORA INCLINADA ROHS              REV-00</v>
          </cell>
          <cell r="D719" t="str">
            <v/>
          </cell>
          <cell r="E719" t="str">
            <v>KION IND E COM LT</v>
          </cell>
          <cell r="F719">
            <v>401</v>
          </cell>
          <cell r="G719">
            <v>44067</v>
          </cell>
          <cell r="H719">
            <v>377859</v>
          </cell>
          <cell r="J719">
            <v>21</v>
          </cell>
          <cell r="K719">
            <v>250</v>
          </cell>
          <cell r="L719">
            <v>250</v>
          </cell>
          <cell r="P719">
            <v>250</v>
          </cell>
          <cell r="Q719" t="str">
            <v/>
          </cell>
          <cell r="S719">
            <v>44067</v>
          </cell>
          <cell r="T719">
            <v>7</v>
          </cell>
        </row>
        <row r="720">
          <cell r="A720">
            <v>982074252</v>
          </cell>
          <cell r="B720" t="str">
            <v>65.111.08564-7</v>
          </cell>
          <cell r="C720" t="str">
            <v>TRAVA TRANSP IMPRESSORA INCLINADA ROHS              REV-00</v>
          </cell>
          <cell r="D720" t="str">
            <v/>
          </cell>
          <cell r="E720" t="str">
            <v>KION IND E COM LT</v>
          </cell>
          <cell r="F720">
            <v>401</v>
          </cell>
          <cell r="G720">
            <v>44095</v>
          </cell>
          <cell r="H720">
            <v>377859</v>
          </cell>
          <cell r="J720">
            <v>49</v>
          </cell>
          <cell r="K720">
            <v>200</v>
          </cell>
          <cell r="L720">
            <v>200</v>
          </cell>
          <cell r="P720">
            <v>200</v>
          </cell>
          <cell r="Q720" t="str">
            <v/>
          </cell>
          <cell r="S720">
            <v>44074</v>
          </cell>
          <cell r="T720">
            <v>8</v>
          </cell>
        </row>
        <row r="721">
          <cell r="A721">
            <v>982074253</v>
          </cell>
          <cell r="B721" t="str">
            <v>65.111.08564-7</v>
          </cell>
          <cell r="C721" t="str">
            <v>TRAVA TRANSP IMPRESSORA INCLINADA ROHS              REV-00</v>
          </cell>
          <cell r="D721" t="str">
            <v/>
          </cell>
          <cell r="E721" t="str">
            <v>KION IND E COM LT</v>
          </cell>
          <cell r="F721">
            <v>401</v>
          </cell>
          <cell r="G721">
            <v>44123</v>
          </cell>
          <cell r="H721">
            <v>377859</v>
          </cell>
          <cell r="J721">
            <v>77</v>
          </cell>
          <cell r="K721">
            <v>200</v>
          </cell>
          <cell r="L721">
            <v>200</v>
          </cell>
          <cell r="P721">
            <v>200</v>
          </cell>
          <cell r="Q721" t="str">
            <v/>
          </cell>
          <cell r="S721">
            <v>44088</v>
          </cell>
          <cell r="T721">
            <v>10</v>
          </cell>
        </row>
        <row r="722">
          <cell r="A722">
            <v>982089081</v>
          </cell>
          <cell r="B722" t="str">
            <v>65.111.08564-7</v>
          </cell>
          <cell r="C722" t="str">
            <v>TRAVA TRANSP IMPRESSORA INCLINADA ROHS              REV-00</v>
          </cell>
          <cell r="D722" t="str">
            <v/>
          </cell>
          <cell r="E722" t="str">
            <v>KION IND E COM LT</v>
          </cell>
          <cell r="F722">
            <v>401</v>
          </cell>
          <cell r="G722">
            <v>44123</v>
          </cell>
          <cell r="H722">
            <v>377860</v>
          </cell>
          <cell r="J722">
            <v>77</v>
          </cell>
          <cell r="K722">
            <v>100</v>
          </cell>
          <cell r="L722">
            <v>100</v>
          </cell>
          <cell r="P722">
            <v>100</v>
          </cell>
          <cell r="Q722" t="str">
            <v/>
          </cell>
          <cell r="S722">
            <v>44109</v>
          </cell>
          <cell r="T722">
            <v>13</v>
          </cell>
        </row>
        <row r="723">
          <cell r="A723">
            <v>982074092</v>
          </cell>
          <cell r="B723" t="str">
            <v>65.111.08568-5</v>
          </cell>
          <cell r="C723" t="str">
            <v xml:space="preserve">SUPORTE CABOS RM4 SUPERIOR P/ ATMR4500 C/ CHEQ      REV-00  </v>
          </cell>
          <cell r="D723" t="str">
            <v/>
          </cell>
          <cell r="E723" t="str">
            <v>KION IND E COM LT</v>
          </cell>
          <cell r="F723">
            <v>401</v>
          </cell>
          <cell r="G723">
            <v>44095</v>
          </cell>
          <cell r="H723">
            <v>377859</v>
          </cell>
          <cell r="J723">
            <v>49</v>
          </cell>
          <cell r="K723">
            <v>200</v>
          </cell>
          <cell r="L723">
            <v>200</v>
          </cell>
          <cell r="P723">
            <v>200</v>
          </cell>
          <cell r="Q723" t="str">
            <v/>
          </cell>
          <cell r="S723">
            <v>44074</v>
          </cell>
          <cell r="T723">
            <v>8</v>
          </cell>
        </row>
        <row r="724">
          <cell r="A724">
            <v>982074093</v>
          </cell>
          <cell r="B724" t="str">
            <v>65.111.08568-5</v>
          </cell>
          <cell r="C724" t="str">
            <v xml:space="preserve">SUPORTE CABOS RM4 SUPERIOR P/ ATMR4500 C/ CHEQ      REV-00  </v>
          </cell>
          <cell r="D724" t="str">
            <v/>
          </cell>
          <cell r="E724" t="str">
            <v>KION IND E COM LT</v>
          </cell>
          <cell r="F724">
            <v>401</v>
          </cell>
          <cell r="G724">
            <v>44123</v>
          </cell>
          <cell r="H724">
            <v>377859</v>
          </cell>
          <cell r="J724">
            <v>77</v>
          </cell>
          <cell r="K724">
            <v>200</v>
          </cell>
          <cell r="L724">
            <v>200</v>
          </cell>
          <cell r="P724">
            <v>200</v>
          </cell>
          <cell r="Q724" t="str">
            <v/>
          </cell>
          <cell r="S724">
            <v>44088</v>
          </cell>
          <cell r="T724">
            <v>10</v>
          </cell>
        </row>
        <row r="725">
          <cell r="A725">
            <v>982088521</v>
          </cell>
          <cell r="B725" t="str">
            <v>65.111.08568-5</v>
          </cell>
          <cell r="C725" t="str">
            <v xml:space="preserve">SUPORTE CABOS RM4 SUPERIOR P/ ATMR4500 C/ CHEQ      REV-00  </v>
          </cell>
          <cell r="D725" t="str">
            <v/>
          </cell>
          <cell r="E725" t="str">
            <v>KION IND E COM LT</v>
          </cell>
          <cell r="F725">
            <v>401</v>
          </cell>
          <cell r="G725">
            <v>44123</v>
          </cell>
          <cell r="H725">
            <v>377860</v>
          </cell>
          <cell r="J725">
            <v>77</v>
          </cell>
          <cell r="K725">
            <v>100</v>
          </cell>
          <cell r="L725">
            <v>100</v>
          </cell>
          <cell r="P725">
            <v>100</v>
          </cell>
          <cell r="Q725" t="str">
            <v/>
          </cell>
          <cell r="S725">
            <v>44109</v>
          </cell>
          <cell r="T725">
            <v>13</v>
          </cell>
        </row>
        <row r="726">
          <cell r="A726">
            <v>982074091</v>
          </cell>
          <cell r="B726" t="str">
            <v>65.111.08568-5</v>
          </cell>
          <cell r="C726" t="str">
            <v xml:space="preserve">SUPORTE CABOS RM4 SUPERIOR P/ ATMR4500 C/ CHEQ      REV-00  </v>
          </cell>
          <cell r="D726" t="str">
            <v/>
          </cell>
          <cell r="E726" t="str">
            <v>KION IND E COM LT</v>
          </cell>
          <cell r="F726">
            <v>401</v>
          </cell>
          <cell r="G726">
            <v>44067</v>
          </cell>
          <cell r="H726">
            <v>377859</v>
          </cell>
          <cell r="J726">
            <v>21</v>
          </cell>
          <cell r="K726">
            <v>260</v>
          </cell>
          <cell r="L726">
            <v>260</v>
          </cell>
          <cell r="P726">
            <v>260</v>
          </cell>
          <cell r="Q726" t="str">
            <v>material estava em 8W - previsão de entrega até 14/08</v>
          </cell>
          <cell r="R726" t="str">
            <v>10/08 - A</v>
          </cell>
          <cell r="S726">
            <v>44053</v>
          </cell>
          <cell r="T726">
            <v>5</v>
          </cell>
        </row>
        <row r="727">
          <cell r="A727">
            <v>982074062</v>
          </cell>
          <cell r="B727" t="str">
            <v>65.111.08570-8</v>
          </cell>
          <cell r="C727" t="str">
            <v xml:space="preserve">MANCAL GUIA VARAO TRAVA SANTANDER SNBC ROHS         REV-00  </v>
          </cell>
          <cell r="D727" t="str">
            <v/>
          </cell>
          <cell r="E727" t="str">
            <v>KION IND E COM LT</v>
          </cell>
          <cell r="F727">
            <v>401</v>
          </cell>
          <cell r="G727">
            <v>44095</v>
          </cell>
          <cell r="H727">
            <v>377859</v>
          </cell>
          <cell r="J727">
            <v>49</v>
          </cell>
          <cell r="K727">
            <v>800</v>
          </cell>
          <cell r="L727">
            <v>800</v>
          </cell>
          <cell r="P727">
            <v>800</v>
          </cell>
          <cell r="Q727" t="str">
            <v>Trat. 03/08  - ZF</v>
          </cell>
          <cell r="S727">
            <v>44074</v>
          </cell>
          <cell r="T727">
            <v>8</v>
          </cell>
        </row>
        <row r="728">
          <cell r="A728">
            <v>982074063</v>
          </cell>
          <cell r="B728" t="str">
            <v>65.111.08570-8</v>
          </cell>
          <cell r="C728" t="str">
            <v xml:space="preserve">MANCAL GUIA VARAO TRAVA SANTANDER SNBC ROHS         REV-00  </v>
          </cell>
          <cell r="D728" t="str">
            <v/>
          </cell>
          <cell r="E728" t="str">
            <v>KION IND E COM LT</v>
          </cell>
          <cell r="F728">
            <v>401</v>
          </cell>
          <cell r="G728">
            <v>44123</v>
          </cell>
          <cell r="H728">
            <v>377859</v>
          </cell>
          <cell r="J728">
            <v>77</v>
          </cell>
          <cell r="K728">
            <v>800</v>
          </cell>
          <cell r="L728">
            <v>800</v>
          </cell>
          <cell r="P728">
            <v>800</v>
          </cell>
          <cell r="Q728" t="str">
            <v/>
          </cell>
          <cell r="S728">
            <v>44088</v>
          </cell>
          <cell r="T728">
            <v>10</v>
          </cell>
        </row>
        <row r="729">
          <cell r="A729">
            <v>982088491</v>
          </cell>
          <cell r="B729" t="str">
            <v>65.111.08570-8</v>
          </cell>
          <cell r="C729" t="str">
            <v xml:space="preserve">MANCAL GUIA VARAO TRAVA SANTANDER SNBC ROHS         REV-00  </v>
          </cell>
          <cell r="D729" t="str">
            <v/>
          </cell>
          <cell r="E729" t="str">
            <v>KION IND E COM LT</v>
          </cell>
          <cell r="F729">
            <v>401</v>
          </cell>
          <cell r="G729">
            <v>44123</v>
          </cell>
          <cell r="H729">
            <v>377860</v>
          </cell>
          <cell r="J729">
            <v>77</v>
          </cell>
          <cell r="K729">
            <v>500</v>
          </cell>
          <cell r="L729">
            <v>500</v>
          </cell>
          <cell r="P729">
            <v>500</v>
          </cell>
          <cell r="Q729" t="str">
            <v/>
          </cell>
          <cell r="S729">
            <v>44109</v>
          </cell>
          <cell r="T729">
            <v>13</v>
          </cell>
        </row>
        <row r="730">
          <cell r="A730">
            <v>982074061</v>
          </cell>
          <cell r="B730" t="str">
            <v>65.111.08570-8</v>
          </cell>
          <cell r="C730" t="str">
            <v xml:space="preserve">MANCAL GUIA VARAO TRAVA SANTANDER SNBC ROHS         REV-00  </v>
          </cell>
          <cell r="D730" t="str">
            <v/>
          </cell>
          <cell r="E730" t="str">
            <v>KION IND E COM LT</v>
          </cell>
          <cell r="F730">
            <v>401</v>
          </cell>
          <cell r="G730">
            <v>44067</v>
          </cell>
          <cell r="H730">
            <v>377859</v>
          </cell>
          <cell r="J730">
            <v>21</v>
          </cell>
          <cell r="K730">
            <v>1050</v>
          </cell>
          <cell r="L730">
            <v>1050</v>
          </cell>
          <cell r="P730">
            <v>1050</v>
          </cell>
          <cell r="Q730" t="str">
            <v>material em tratamento superficial - previsão de entrega até 07/08</v>
          </cell>
          <cell r="R730" t="str">
            <v>06/08 - B</v>
          </cell>
          <cell r="S730">
            <v>44053</v>
          </cell>
          <cell r="T730">
            <v>5</v>
          </cell>
        </row>
        <row r="731">
          <cell r="A731">
            <v>982074131</v>
          </cell>
          <cell r="B731" t="str">
            <v>65.111.08590-6</v>
          </cell>
          <cell r="C731" t="str">
            <v xml:space="preserve">SUP FIX FONE ROHS                                   REV-01  </v>
          </cell>
          <cell r="D731" t="str">
            <v>ALLEN SEM CABEÇA M6x25</v>
          </cell>
          <cell r="E731" t="str">
            <v>KION IND E COM LT</v>
          </cell>
          <cell r="F731">
            <v>401</v>
          </cell>
          <cell r="G731">
            <v>44067</v>
          </cell>
          <cell r="H731">
            <v>377859</v>
          </cell>
          <cell r="J731">
            <v>21</v>
          </cell>
          <cell r="K731">
            <v>260</v>
          </cell>
          <cell r="L731">
            <v>260</v>
          </cell>
          <cell r="P731">
            <v>260</v>
          </cell>
          <cell r="Q731" t="str">
            <v>OP 28/07 -  JH</v>
          </cell>
          <cell r="S731">
            <v>44067</v>
          </cell>
          <cell r="T731">
            <v>7</v>
          </cell>
        </row>
        <row r="732">
          <cell r="A732">
            <v>982074132</v>
          </cell>
          <cell r="B732" t="str">
            <v>65.111.08590-6</v>
          </cell>
          <cell r="C732" t="str">
            <v xml:space="preserve">SUP FIX FONE ROHS                                   REV-01  </v>
          </cell>
          <cell r="D732" t="str">
            <v>ALLEN SEM CABEÇA M6x25</v>
          </cell>
          <cell r="E732" t="str">
            <v>KION IND E COM LT</v>
          </cell>
          <cell r="F732">
            <v>401</v>
          </cell>
          <cell r="G732">
            <v>44081</v>
          </cell>
          <cell r="H732">
            <v>377859</v>
          </cell>
          <cell r="J732">
            <v>35</v>
          </cell>
          <cell r="K732">
            <v>250</v>
          </cell>
          <cell r="L732">
            <v>250</v>
          </cell>
          <cell r="P732">
            <v>250</v>
          </cell>
          <cell r="Q732" t="str">
            <v>OP 28/07 -  JH</v>
          </cell>
          <cell r="S732">
            <v>44074</v>
          </cell>
          <cell r="T732">
            <v>8</v>
          </cell>
        </row>
        <row r="733">
          <cell r="A733">
            <v>982074133</v>
          </cell>
          <cell r="B733" t="str">
            <v>65.111.08590-6</v>
          </cell>
          <cell r="C733" t="str">
            <v xml:space="preserve">SUP FIX FONE ROHS                                   REV-01  </v>
          </cell>
          <cell r="D733" t="str">
            <v>ALLEN SEM CABEÇA M6x25</v>
          </cell>
          <cell r="E733" t="str">
            <v>KION IND E COM LT</v>
          </cell>
          <cell r="F733">
            <v>401</v>
          </cell>
          <cell r="G733">
            <v>44095</v>
          </cell>
          <cell r="H733">
            <v>377859</v>
          </cell>
          <cell r="J733">
            <v>49</v>
          </cell>
          <cell r="K733">
            <v>200</v>
          </cell>
          <cell r="L733">
            <v>200</v>
          </cell>
          <cell r="P733">
            <v>200</v>
          </cell>
          <cell r="Q733" t="str">
            <v/>
          </cell>
          <cell r="S733">
            <v>44081</v>
          </cell>
          <cell r="T733">
            <v>9</v>
          </cell>
        </row>
        <row r="734">
          <cell r="A734">
            <v>982074134</v>
          </cell>
          <cell r="B734" t="str">
            <v>65.111.08590-6</v>
          </cell>
          <cell r="C734" t="str">
            <v xml:space="preserve">SUP FIX FONE ROHS                                   REV-01  </v>
          </cell>
          <cell r="D734" t="str">
            <v>ALLEN SEM CABEÇA M6x25</v>
          </cell>
          <cell r="E734" t="str">
            <v>KION IND E COM LT</v>
          </cell>
          <cell r="F734">
            <v>401</v>
          </cell>
          <cell r="G734">
            <v>44102</v>
          </cell>
          <cell r="H734">
            <v>377859</v>
          </cell>
          <cell r="J734">
            <v>56</v>
          </cell>
          <cell r="K734">
            <v>250</v>
          </cell>
          <cell r="L734">
            <v>250</v>
          </cell>
          <cell r="P734">
            <v>250</v>
          </cell>
          <cell r="Q734" t="str">
            <v/>
          </cell>
          <cell r="S734">
            <v>44088</v>
          </cell>
          <cell r="T734">
            <v>10</v>
          </cell>
        </row>
        <row r="735">
          <cell r="A735">
            <v>982074135</v>
          </cell>
          <cell r="B735" t="str">
            <v>65.111.08590-6</v>
          </cell>
          <cell r="C735" t="str">
            <v xml:space="preserve">SUP FIX FONE ROHS                                   REV-01  </v>
          </cell>
          <cell r="D735" t="str">
            <v>ALLEN SEM CABEÇA M6x25</v>
          </cell>
          <cell r="E735" t="str">
            <v>KION IND E COM LT</v>
          </cell>
          <cell r="F735">
            <v>401</v>
          </cell>
          <cell r="G735">
            <v>44123</v>
          </cell>
          <cell r="H735">
            <v>377859</v>
          </cell>
          <cell r="J735">
            <v>77</v>
          </cell>
          <cell r="K735">
            <v>200</v>
          </cell>
          <cell r="L735">
            <v>200</v>
          </cell>
          <cell r="P735">
            <v>200</v>
          </cell>
          <cell r="Q735" t="str">
            <v/>
          </cell>
          <cell r="S735">
            <v>44109</v>
          </cell>
          <cell r="T735">
            <v>13</v>
          </cell>
        </row>
        <row r="736">
          <cell r="A736">
            <v>982074136</v>
          </cell>
          <cell r="B736" t="str">
            <v>65.111.08590-6</v>
          </cell>
          <cell r="C736" t="str">
            <v xml:space="preserve">SUP FIX FONE ROHS                                   REV-01  </v>
          </cell>
          <cell r="D736" t="str">
            <v>ALLEN SEM CABEÇA M6x25</v>
          </cell>
          <cell r="E736" t="str">
            <v>KION IND E COM LT</v>
          </cell>
          <cell r="F736">
            <v>401</v>
          </cell>
          <cell r="G736">
            <v>44130</v>
          </cell>
          <cell r="H736">
            <v>377859</v>
          </cell>
          <cell r="J736">
            <v>84</v>
          </cell>
          <cell r="K736">
            <v>180</v>
          </cell>
          <cell r="L736">
            <v>180</v>
          </cell>
          <cell r="P736">
            <v>180</v>
          </cell>
          <cell r="Q736" t="str">
            <v/>
          </cell>
          <cell r="S736" t="str">
            <v>DF</v>
          </cell>
          <cell r="T736" t="str">
            <v>DF</v>
          </cell>
        </row>
        <row r="737">
          <cell r="A737">
            <v>982089201</v>
          </cell>
          <cell r="B737" t="str">
            <v>65.111.08590-6</v>
          </cell>
          <cell r="C737" t="str">
            <v xml:space="preserve">SUP FIX FONE ROHS                                   REV-01  </v>
          </cell>
          <cell r="D737" t="str">
            <v>ALLEN SEM CABEÇA M6x25</v>
          </cell>
          <cell r="E737" t="str">
            <v>KION IND E COM LT</v>
          </cell>
          <cell r="F737">
            <v>401</v>
          </cell>
          <cell r="G737">
            <v>44130</v>
          </cell>
          <cell r="H737">
            <v>377860</v>
          </cell>
          <cell r="J737">
            <v>84</v>
          </cell>
          <cell r="K737">
            <v>100</v>
          </cell>
          <cell r="L737">
            <v>100</v>
          </cell>
          <cell r="P737">
            <v>100</v>
          </cell>
          <cell r="Q737" t="str">
            <v/>
          </cell>
          <cell r="S737" t="str">
            <v>DF</v>
          </cell>
          <cell r="T737" t="str">
            <v>DF</v>
          </cell>
        </row>
        <row r="738">
          <cell r="A738">
            <v>982082911</v>
          </cell>
          <cell r="B738" t="str">
            <v>65.111.08592-0</v>
          </cell>
          <cell r="C738" t="str">
            <v xml:space="preserve">SUP FIX PUSH BUTTON ROHS                            REV-01  </v>
          </cell>
          <cell r="D738" t="str">
            <v/>
          </cell>
          <cell r="E738" t="str">
            <v>KION IND E COM LT</v>
          </cell>
          <cell r="F738">
            <v>401</v>
          </cell>
          <cell r="G738">
            <v>44067</v>
          </cell>
          <cell r="H738">
            <v>377860</v>
          </cell>
          <cell r="J738">
            <v>21</v>
          </cell>
          <cell r="K738">
            <v>100</v>
          </cell>
          <cell r="L738">
            <v>100</v>
          </cell>
          <cell r="P738">
            <v>100</v>
          </cell>
          <cell r="Q738" t="str">
            <v>material em tratamento superficial - previsão de entrega até 07/08</v>
          </cell>
          <cell r="S738">
            <v>44046</v>
          </cell>
          <cell r="T738">
            <v>4</v>
          </cell>
        </row>
        <row r="739">
          <cell r="A739">
            <v>982074021</v>
          </cell>
          <cell r="B739" t="str">
            <v>65.111.08595-1</v>
          </cell>
          <cell r="C739" t="str">
            <v xml:space="preserve">SUP FIXO BARCODE ROHS                               REV-00  </v>
          </cell>
          <cell r="D739" t="str">
            <v/>
          </cell>
          <cell r="E739" t="str">
            <v>KION IND E COM LT</v>
          </cell>
          <cell r="F739">
            <v>401</v>
          </cell>
          <cell r="G739">
            <v>44081</v>
          </cell>
          <cell r="H739">
            <v>377859</v>
          </cell>
          <cell r="J739">
            <v>35</v>
          </cell>
          <cell r="K739">
            <v>250</v>
          </cell>
          <cell r="L739">
            <v>250</v>
          </cell>
          <cell r="P739">
            <v>250</v>
          </cell>
          <cell r="Q739" t="str">
            <v>OP 29/07- JH</v>
          </cell>
          <cell r="S739">
            <v>44074</v>
          </cell>
          <cell r="T739">
            <v>8</v>
          </cell>
        </row>
        <row r="740">
          <cell r="A740">
            <v>982074022</v>
          </cell>
          <cell r="B740" t="str">
            <v>65.111.08595-1</v>
          </cell>
          <cell r="C740" t="str">
            <v xml:space="preserve">SUP FIXO BARCODE ROHS                               REV-00  </v>
          </cell>
          <cell r="D740" t="str">
            <v/>
          </cell>
          <cell r="E740" t="str">
            <v>KION IND E COM LT</v>
          </cell>
          <cell r="F740">
            <v>401</v>
          </cell>
          <cell r="G740">
            <v>44102</v>
          </cell>
          <cell r="H740">
            <v>377859</v>
          </cell>
          <cell r="J740">
            <v>56</v>
          </cell>
          <cell r="K740">
            <v>220</v>
          </cell>
          <cell r="L740">
            <v>220</v>
          </cell>
          <cell r="P740">
            <v>220</v>
          </cell>
          <cell r="Q740" t="str">
            <v/>
          </cell>
          <cell r="S740">
            <v>44095</v>
          </cell>
          <cell r="T740">
            <v>11</v>
          </cell>
        </row>
        <row r="741">
          <cell r="A741">
            <v>982074023</v>
          </cell>
          <cell r="B741" t="str">
            <v>65.111.08595-1</v>
          </cell>
          <cell r="C741" t="str">
            <v xml:space="preserve">SUP FIXO BARCODE ROHS                               REV-00  </v>
          </cell>
          <cell r="D741" t="str">
            <v/>
          </cell>
          <cell r="E741" t="str">
            <v>KION IND E COM LT</v>
          </cell>
          <cell r="F741">
            <v>401</v>
          </cell>
          <cell r="G741">
            <v>44130</v>
          </cell>
          <cell r="H741">
            <v>377859</v>
          </cell>
          <cell r="J741">
            <v>84</v>
          </cell>
          <cell r="K741">
            <v>170</v>
          </cell>
          <cell r="L741">
            <v>170</v>
          </cell>
          <cell r="P741">
            <v>170</v>
          </cell>
          <cell r="Q741" t="str">
            <v/>
          </cell>
          <cell r="S741" t="str">
            <v>DF</v>
          </cell>
          <cell r="T741" t="str">
            <v>DF</v>
          </cell>
        </row>
        <row r="742">
          <cell r="A742">
            <v>982082671</v>
          </cell>
          <cell r="B742" t="str">
            <v>65.111.08596-8</v>
          </cell>
          <cell r="C742" t="str">
            <v xml:space="preserve">OMEGA STOP PUSH BUTTON RM4 ROHS                     REV-00  </v>
          </cell>
          <cell r="D742" t="str">
            <v/>
          </cell>
          <cell r="E742" t="str">
            <v>KION IND E COM LT</v>
          </cell>
          <cell r="F742">
            <v>401</v>
          </cell>
          <cell r="G742">
            <v>44067</v>
          </cell>
          <cell r="H742">
            <v>377860</v>
          </cell>
          <cell r="J742">
            <v>21</v>
          </cell>
          <cell r="K742">
            <v>100</v>
          </cell>
          <cell r="L742">
            <v>100</v>
          </cell>
          <cell r="P742">
            <v>100</v>
          </cell>
          <cell r="Q742" t="str">
            <v>material em tratamento superficial - previsão de entrega até 07/08</v>
          </cell>
          <cell r="S742">
            <v>44046</v>
          </cell>
          <cell r="T742">
            <v>4</v>
          </cell>
        </row>
        <row r="743">
          <cell r="A743">
            <v>982074082</v>
          </cell>
          <cell r="B743" t="str">
            <v>65.111.08610-7</v>
          </cell>
          <cell r="C743" t="str">
            <v xml:space="preserve">SUP TRAVA DIR PNL ATMR4500 ROHS                     REV-00  </v>
          </cell>
          <cell r="D743" t="str">
            <v>29-009678-A OU B</v>
          </cell>
          <cell r="E743" t="str">
            <v>KION IND E COM LT</v>
          </cell>
          <cell r="F743">
            <v>401</v>
          </cell>
          <cell r="G743">
            <v>44095</v>
          </cell>
          <cell r="H743">
            <v>377859</v>
          </cell>
          <cell r="J743">
            <v>49</v>
          </cell>
          <cell r="K743">
            <v>200</v>
          </cell>
          <cell r="L743">
            <v>200</v>
          </cell>
          <cell r="P743">
            <v>200</v>
          </cell>
          <cell r="Q743" t="str">
            <v>Trat. 03/08 - DIADEMA</v>
          </cell>
          <cell r="S743">
            <v>44074</v>
          </cell>
          <cell r="T743">
            <v>8</v>
          </cell>
        </row>
        <row r="744">
          <cell r="A744">
            <v>982074083</v>
          </cell>
          <cell r="B744" t="str">
            <v>65.111.08610-7</v>
          </cell>
          <cell r="C744" t="str">
            <v xml:space="preserve">SUP TRAVA DIR PNL ATMR4500 ROHS                     REV-00  </v>
          </cell>
          <cell r="D744" t="str">
            <v>29-009678-A OU B</v>
          </cell>
          <cell r="E744" t="str">
            <v>KION IND E COM LT</v>
          </cell>
          <cell r="F744">
            <v>401</v>
          </cell>
          <cell r="G744">
            <v>44123</v>
          </cell>
          <cell r="H744">
            <v>377859</v>
          </cell>
          <cell r="J744">
            <v>77</v>
          </cell>
          <cell r="K744">
            <v>200</v>
          </cell>
          <cell r="L744">
            <v>200</v>
          </cell>
          <cell r="P744">
            <v>200</v>
          </cell>
          <cell r="Q744" t="str">
            <v/>
          </cell>
          <cell r="S744">
            <v>44088</v>
          </cell>
          <cell r="T744">
            <v>10</v>
          </cell>
        </row>
        <row r="745">
          <cell r="A745">
            <v>982088511</v>
          </cell>
          <cell r="B745" t="str">
            <v>65.111.08610-7</v>
          </cell>
          <cell r="C745" t="str">
            <v xml:space="preserve">SUP TRAVA DIR PNL ATMR4500 ROHS                     REV-00  </v>
          </cell>
          <cell r="D745" t="str">
            <v>29-009678-A OU B</v>
          </cell>
          <cell r="E745" t="str">
            <v>KION IND E COM LT</v>
          </cell>
          <cell r="F745">
            <v>401</v>
          </cell>
          <cell r="G745">
            <v>44123</v>
          </cell>
          <cell r="H745">
            <v>377860</v>
          </cell>
          <cell r="J745">
            <v>77</v>
          </cell>
          <cell r="K745">
            <v>100</v>
          </cell>
          <cell r="L745">
            <v>100</v>
          </cell>
          <cell r="P745">
            <v>100</v>
          </cell>
          <cell r="Q745" t="str">
            <v/>
          </cell>
          <cell r="S745">
            <v>44109</v>
          </cell>
          <cell r="T745">
            <v>13</v>
          </cell>
        </row>
        <row r="746">
          <cell r="A746">
            <v>982074081</v>
          </cell>
          <cell r="B746" t="str">
            <v>65.111.08610-7</v>
          </cell>
          <cell r="C746" t="str">
            <v xml:space="preserve">SUP TRAVA DIR PNL ATMR4500 ROHS                     REV-00  </v>
          </cell>
          <cell r="D746" t="str">
            <v>29-009678-A OU B</v>
          </cell>
          <cell r="E746" t="str">
            <v>KION IND E COM LT</v>
          </cell>
          <cell r="F746">
            <v>401</v>
          </cell>
          <cell r="G746">
            <v>44067</v>
          </cell>
          <cell r="H746">
            <v>377859</v>
          </cell>
          <cell r="J746">
            <v>21</v>
          </cell>
          <cell r="K746">
            <v>260</v>
          </cell>
          <cell r="L746">
            <v>260</v>
          </cell>
          <cell r="P746">
            <v>260</v>
          </cell>
          <cell r="Q746" t="str">
            <v>material em tratamento superficial - previsão de entrega até 07/08</v>
          </cell>
          <cell r="R746" t="str">
            <v>06/08 - B</v>
          </cell>
          <cell r="S746">
            <v>44053</v>
          </cell>
          <cell r="T746">
            <v>5</v>
          </cell>
        </row>
        <row r="747">
          <cell r="A747">
            <v>982080261</v>
          </cell>
          <cell r="B747" t="str">
            <v>65.111.08615-2</v>
          </cell>
          <cell r="C747" t="str">
            <v xml:space="preserve">BATENTE FRONTAL VALID CED JCM (SEM AJUSTE) ROHS     REV-00  </v>
          </cell>
          <cell r="D747" t="str">
            <v/>
          </cell>
          <cell r="E747" t="str">
            <v>KION IND E COM LT</v>
          </cell>
          <cell r="F747">
            <v>401</v>
          </cell>
          <cell r="G747">
            <v>44060</v>
          </cell>
          <cell r="H747">
            <v>377860</v>
          </cell>
          <cell r="J747">
            <v>14</v>
          </cell>
          <cell r="K747">
            <v>90</v>
          </cell>
          <cell r="L747">
            <v>90</v>
          </cell>
          <cell r="P747">
            <v>90</v>
          </cell>
          <cell r="Q747" t="str">
            <v>OP 29/07- JH</v>
          </cell>
          <cell r="S747">
            <v>44067</v>
          </cell>
          <cell r="T747">
            <v>7</v>
          </cell>
        </row>
        <row r="748">
          <cell r="A748">
            <v>982079581</v>
          </cell>
          <cell r="B748" t="str">
            <v>65.111.08616-9</v>
          </cell>
          <cell r="C748" t="str">
            <v xml:space="preserve">SUP FIXO BARCODE RM4 DEP CHQ SNBC ROHS              REV-00  </v>
          </cell>
          <cell r="D748" t="str">
            <v/>
          </cell>
          <cell r="E748" t="str">
            <v>KION IND E COM LT</v>
          </cell>
          <cell r="F748">
            <v>401</v>
          </cell>
          <cell r="G748">
            <v>44067</v>
          </cell>
          <cell r="H748">
            <v>377860</v>
          </cell>
          <cell r="J748">
            <v>21</v>
          </cell>
          <cell r="K748">
            <v>300</v>
          </cell>
          <cell r="L748">
            <v>300</v>
          </cell>
          <cell r="P748">
            <v>300</v>
          </cell>
          <cell r="Q748" t="str">
            <v/>
          </cell>
          <cell r="S748">
            <v>44067</v>
          </cell>
          <cell r="T748">
            <v>7</v>
          </cell>
        </row>
        <row r="749">
          <cell r="A749">
            <v>982079582</v>
          </cell>
          <cell r="B749" t="str">
            <v>65.111.08616-9</v>
          </cell>
          <cell r="C749" t="str">
            <v xml:space="preserve">SUP FIXO BARCODE RM4 DEP CHQ SNBC ROHS              REV-00  </v>
          </cell>
          <cell r="D749" t="str">
            <v/>
          </cell>
          <cell r="E749" t="str">
            <v>KION IND E COM LT</v>
          </cell>
          <cell r="F749">
            <v>401</v>
          </cell>
          <cell r="G749">
            <v>44095</v>
          </cell>
          <cell r="H749">
            <v>377860</v>
          </cell>
          <cell r="J749">
            <v>49</v>
          </cell>
          <cell r="K749">
            <v>200</v>
          </cell>
          <cell r="L749">
            <v>200</v>
          </cell>
          <cell r="P749">
            <v>200</v>
          </cell>
          <cell r="Q749" t="str">
            <v/>
          </cell>
          <cell r="S749">
            <v>44088</v>
          </cell>
          <cell r="T749">
            <v>10</v>
          </cell>
        </row>
        <row r="750">
          <cell r="A750">
            <v>982079583</v>
          </cell>
          <cell r="B750" t="str">
            <v>65.111.08616-9</v>
          </cell>
          <cell r="C750" t="str">
            <v xml:space="preserve">SUP FIXO BARCODE RM4 DEP CHQ SNBC ROHS              REV-00  </v>
          </cell>
          <cell r="D750" t="str">
            <v/>
          </cell>
          <cell r="E750" t="str">
            <v>KION IND E COM LT</v>
          </cell>
          <cell r="F750">
            <v>401</v>
          </cell>
          <cell r="G750">
            <v>44123</v>
          </cell>
          <cell r="H750">
            <v>377860</v>
          </cell>
          <cell r="J750">
            <v>77</v>
          </cell>
          <cell r="K750">
            <v>150</v>
          </cell>
          <cell r="L750">
            <v>150</v>
          </cell>
          <cell r="P750">
            <v>150</v>
          </cell>
          <cell r="Q750" t="str">
            <v/>
          </cell>
          <cell r="S750">
            <v>44109</v>
          </cell>
          <cell r="T750">
            <v>13</v>
          </cell>
        </row>
        <row r="751">
          <cell r="A751">
            <v>981955001</v>
          </cell>
          <cell r="B751" t="str">
            <v>65.111.08637-4</v>
          </cell>
          <cell r="C751" t="str">
            <v xml:space="preserve">HASTE FERROLHO PORTA GAB RM4 RL SCANNER SNBC ITAU   REV-00  </v>
          </cell>
          <cell r="D751" t="str">
            <v/>
          </cell>
          <cell r="E751" t="str">
            <v>KION IND E COM LT</v>
          </cell>
          <cell r="F751">
            <v>401</v>
          </cell>
          <cell r="G751">
            <v>44039</v>
          </cell>
          <cell r="H751">
            <v>377859</v>
          </cell>
          <cell r="J751">
            <v>-7</v>
          </cell>
          <cell r="K751">
            <v>700</v>
          </cell>
          <cell r="L751">
            <v>700</v>
          </cell>
          <cell r="N751">
            <v>350</v>
          </cell>
          <cell r="P751">
            <v>350</v>
          </cell>
          <cell r="Q751" t="str">
            <v>material em tratamento superficial - previsão de entrega até 07/08</v>
          </cell>
          <cell r="S751">
            <v>44046</v>
          </cell>
          <cell r="T751">
            <v>4</v>
          </cell>
        </row>
        <row r="752">
          <cell r="A752">
            <v>982070221</v>
          </cell>
          <cell r="B752" t="str">
            <v>65.111.08637-4</v>
          </cell>
          <cell r="C752" t="str">
            <v xml:space="preserve">HASTE FERROLHO PORTA GAB RM4 RL SCANNER SNBC ITAU   REV-00  </v>
          </cell>
          <cell r="D752" t="str">
            <v/>
          </cell>
          <cell r="E752" t="str">
            <v>KION IND E COM LT</v>
          </cell>
          <cell r="F752">
            <v>401</v>
          </cell>
          <cell r="G752">
            <v>44060</v>
          </cell>
          <cell r="H752">
            <v>377859</v>
          </cell>
          <cell r="J752">
            <v>14</v>
          </cell>
          <cell r="K752">
            <v>700</v>
          </cell>
          <cell r="L752">
            <v>700</v>
          </cell>
          <cell r="P752">
            <v>700</v>
          </cell>
          <cell r="Q752" t="str">
            <v>OP 21/07 - FM</v>
          </cell>
          <cell r="S752">
            <v>44060</v>
          </cell>
          <cell r="T752">
            <v>6</v>
          </cell>
        </row>
        <row r="753">
          <cell r="A753">
            <v>982070222</v>
          </cell>
          <cell r="B753" t="str">
            <v>65.111.08637-4</v>
          </cell>
          <cell r="C753" t="str">
            <v xml:space="preserve">HASTE FERROLHO PORTA GAB RM4 RL SCANNER SNBC ITAU   REV-00  </v>
          </cell>
          <cell r="D753" t="str">
            <v/>
          </cell>
          <cell r="E753" t="str">
            <v>KION IND E COM LT</v>
          </cell>
          <cell r="F753">
            <v>401</v>
          </cell>
          <cell r="G753">
            <v>44081</v>
          </cell>
          <cell r="H753">
            <v>377859</v>
          </cell>
          <cell r="J753">
            <v>35</v>
          </cell>
          <cell r="K753">
            <v>600</v>
          </cell>
          <cell r="L753">
            <v>600</v>
          </cell>
          <cell r="P753">
            <v>600</v>
          </cell>
          <cell r="Q753" t="str">
            <v>OP 21/07 - FM</v>
          </cell>
          <cell r="S753">
            <v>44081</v>
          </cell>
          <cell r="T753">
            <v>9</v>
          </cell>
        </row>
        <row r="754">
          <cell r="A754">
            <v>982074032</v>
          </cell>
          <cell r="B754" t="str">
            <v>65.111.08743-8</v>
          </cell>
          <cell r="C754" t="str">
            <v xml:space="preserve">SUPT SENSOR MAGNET(ALEPH) PNL SUP FR ROHS           REV-01  </v>
          </cell>
          <cell r="D754" t="str">
            <v/>
          </cell>
          <cell r="E754" t="str">
            <v>KION IND E COM LT</v>
          </cell>
          <cell r="F754">
            <v>401</v>
          </cell>
          <cell r="G754">
            <v>44095</v>
          </cell>
          <cell r="H754">
            <v>377859</v>
          </cell>
          <cell r="J754">
            <v>49</v>
          </cell>
          <cell r="K754">
            <v>200</v>
          </cell>
          <cell r="L754">
            <v>200</v>
          </cell>
          <cell r="P754">
            <v>200</v>
          </cell>
          <cell r="Q754" t="str">
            <v>Trat. 03/08 - DIADEMA</v>
          </cell>
          <cell r="S754">
            <v>44074</v>
          </cell>
          <cell r="T754">
            <v>8</v>
          </cell>
        </row>
        <row r="755">
          <cell r="A755">
            <v>982074033</v>
          </cell>
          <cell r="B755" t="str">
            <v>65.111.08743-8</v>
          </cell>
          <cell r="C755" t="str">
            <v xml:space="preserve">SUPT SENSOR MAGNET(ALEPH) PNL SUP FR ROHS           REV-01  </v>
          </cell>
          <cell r="D755" t="str">
            <v/>
          </cell>
          <cell r="E755" t="str">
            <v>KION IND E COM LT</v>
          </cell>
          <cell r="F755">
            <v>401</v>
          </cell>
          <cell r="G755">
            <v>44123</v>
          </cell>
          <cell r="H755">
            <v>377859</v>
          </cell>
          <cell r="J755">
            <v>77</v>
          </cell>
          <cell r="K755">
            <v>200</v>
          </cell>
          <cell r="L755">
            <v>200</v>
          </cell>
          <cell r="P755">
            <v>200</v>
          </cell>
          <cell r="Q755" t="str">
            <v/>
          </cell>
          <cell r="S755">
            <v>44088</v>
          </cell>
          <cell r="T755">
            <v>10</v>
          </cell>
        </row>
        <row r="756">
          <cell r="A756">
            <v>982089291</v>
          </cell>
          <cell r="B756" t="str">
            <v>65.111.08743-8</v>
          </cell>
          <cell r="C756" t="str">
            <v xml:space="preserve">SUPT SENSOR MAGNET(ALEPH) PNL SUP FR ROHS           REV-01  </v>
          </cell>
          <cell r="D756" t="str">
            <v/>
          </cell>
          <cell r="E756" t="str">
            <v>KION IND E COM LT</v>
          </cell>
          <cell r="F756">
            <v>401</v>
          </cell>
          <cell r="G756">
            <v>44123</v>
          </cell>
          <cell r="H756">
            <v>377860</v>
          </cell>
          <cell r="J756">
            <v>77</v>
          </cell>
          <cell r="K756">
            <v>100</v>
          </cell>
          <cell r="L756">
            <v>100</v>
          </cell>
          <cell r="P756">
            <v>100</v>
          </cell>
          <cell r="Q756" t="str">
            <v/>
          </cell>
          <cell r="S756">
            <v>44109</v>
          </cell>
          <cell r="T756">
            <v>13</v>
          </cell>
        </row>
        <row r="757">
          <cell r="A757">
            <v>982074031</v>
          </cell>
          <cell r="B757" t="str">
            <v>65.111.08743-8</v>
          </cell>
          <cell r="C757" t="str">
            <v xml:space="preserve">SUPT SENSOR MAGNET(ALEPH) PNL SUP FR ROHS           REV-01  </v>
          </cell>
          <cell r="D757" t="str">
            <v/>
          </cell>
          <cell r="E757" t="str">
            <v>KION IND E COM LT</v>
          </cell>
          <cell r="F757">
            <v>401</v>
          </cell>
          <cell r="G757">
            <v>44067</v>
          </cell>
          <cell r="H757">
            <v>377859</v>
          </cell>
          <cell r="J757">
            <v>21</v>
          </cell>
          <cell r="K757">
            <v>260</v>
          </cell>
          <cell r="L757">
            <v>260</v>
          </cell>
          <cell r="P757">
            <v>260</v>
          </cell>
          <cell r="Q757" t="str">
            <v>material em tratamento superficial - previsão de entrega até 07/08</v>
          </cell>
          <cell r="S757">
            <v>44053</v>
          </cell>
          <cell r="T757">
            <v>5</v>
          </cell>
        </row>
        <row r="758">
          <cell r="A758">
            <v>982075332</v>
          </cell>
          <cell r="B758" t="str">
            <v>65.111.08748-3</v>
          </cell>
          <cell r="C758" t="str">
            <v xml:space="preserve">SUP FIX BARCODE 2D/BASE LT BIOM LUMIDIGM ROHS       REV-01  </v>
          </cell>
          <cell r="D758" t="str">
            <v/>
          </cell>
          <cell r="E758" t="str">
            <v>KION IND E COM LT</v>
          </cell>
          <cell r="F758">
            <v>401</v>
          </cell>
          <cell r="G758">
            <v>44095</v>
          </cell>
          <cell r="H758">
            <v>377860</v>
          </cell>
          <cell r="J758">
            <v>49</v>
          </cell>
          <cell r="K758">
            <v>200</v>
          </cell>
          <cell r="L758">
            <v>200</v>
          </cell>
          <cell r="P758">
            <v>200</v>
          </cell>
          <cell r="Q758" t="str">
            <v>Trat. 03/08 - REALPOX</v>
          </cell>
          <cell r="S758">
            <v>44074</v>
          </cell>
          <cell r="T758">
            <v>8</v>
          </cell>
        </row>
        <row r="759">
          <cell r="A759">
            <v>982075333</v>
          </cell>
          <cell r="B759" t="str">
            <v>65.111.08748-3</v>
          </cell>
          <cell r="C759" t="str">
            <v xml:space="preserve">SUP FIX BARCODE 2D/BASE LT BIOM LUMIDIGM ROHS       REV-01  </v>
          </cell>
          <cell r="D759" t="str">
            <v/>
          </cell>
          <cell r="E759" t="str">
            <v>KION IND E COM LT</v>
          </cell>
          <cell r="F759">
            <v>401</v>
          </cell>
          <cell r="G759">
            <v>44123</v>
          </cell>
          <cell r="H759">
            <v>377860</v>
          </cell>
          <cell r="J759">
            <v>77</v>
          </cell>
          <cell r="K759">
            <v>200</v>
          </cell>
          <cell r="L759">
            <v>200</v>
          </cell>
          <cell r="P759">
            <v>200</v>
          </cell>
          <cell r="Q759" t="str">
            <v/>
          </cell>
          <cell r="S759">
            <v>44088</v>
          </cell>
          <cell r="T759">
            <v>10</v>
          </cell>
        </row>
        <row r="760">
          <cell r="A760">
            <v>982089241</v>
          </cell>
          <cell r="B760" t="str">
            <v>65.111.08748-3</v>
          </cell>
          <cell r="C760" t="str">
            <v xml:space="preserve">SUP FIX BARCODE 2D/BASE LT BIOM LUMIDIGM ROHS       REV-01  </v>
          </cell>
          <cell r="D760" t="str">
            <v/>
          </cell>
          <cell r="E760" t="str">
            <v>KION IND E COM LT</v>
          </cell>
          <cell r="F760">
            <v>401</v>
          </cell>
          <cell r="G760">
            <v>44123</v>
          </cell>
          <cell r="H760">
            <v>377860</v>
          </cell>
          <cell r="J760">
            <v>77</v>
          </cell>
          <cell r="K760">
            <v>120</v>
          </cell>
          <cell r="L760">
            <v>120</v>
          </cell>
          <cell r="P760">
            <v>120</v>
          </cell>
          <cell r="Q760" t="str">
            <v/>
          </cell>
          <cell r="S760">
            <v>44109</v>
          </cell>
          <cell r="T760">
            <v>13</v>
          </cell>
        </row>
        <row r="761">
          <cell r="A761">
            <v>982075331</v>
          </cell>
          <cell r="B761" t="str">
            <v>65.111.08748-3</v>
          </cell>
          <cell r="C761" t="str">
            <v xml:space="preserve">SUP FIX BARCODE 2D/BASE LT BIOM LUMIDIGM ROHS       REV-01  </v>
          </cell>
          <cell r="D761" t="str">
            <v/>
          </cell>
          <cell r="E761" t="str">
            <v>KION IND E COM LT</v>
          </cell>
          <cell r="F761">
            <v>401</v>
          </cell>
          <cell r="G761">
            <v>44067</v>
          </cell>
          <cell r="H761">
            <v>377860</v>
          </cell>
          <cell r="J761">
            <v>21</v>
          </cell>
          <cell r="K761">
            <v>250</v>
          </cell>
          <cell r="L761">
            <v>250</v>
          </cell>
          <cell r="P761">
            <v>250</v>
          </cell>
          <cell r="Q761" t="str">
            <v>material em pintura - previsão de entrega até 07/08</v>
          </cell>
          <cell r="R761" t="str">
            <v>06/08 - B</v>
          </cell>
          <cell r="S761">
            <v>44053</v>
          </cell>
          <cell r="T761">
            <v>5</v>
          </cell>
        </row>
        <row r="762">
          <cell r="A762">
            <v>971103001</v>
          </cell>
          <cell r="B762" t="str">
            <v>65.111.08865-3</v>
          </cell>
          <cell r="C762" t="str">
            <v xml:space="preserve">CINTA FIX IOP ROHS                                  REV-00  </v>
          </cell>
          <cell r="D762" t="str">
            <v/>
          </cell>
          <cell r="E762" t="str">
            <v>KION IND E COM LT</v>
          </cell>
          <cell r="F762">
            <v>401</v>
          </cell>
          <cell r="G762">
            <v>43829</v>
          </cell>
          <cell r="H762">
            <v>375327</v>
          </cell>
          <cell r="J762">
            <v>-217</v>
          </cell>
          <cell r="K762">
            <v>25</v>
          </cell>
          <cell r="L762">
            <v>25</v>
          </cell>
          <cell r="P762">
            <v>25</v>
          </cell>
          <cell r="Q762" t="str">
            <v/>
          </cell>
          <cell r="T762" t="str">
            <v>S Con</v>
          </cell>
        </row>
        <row r="763">
          <cell r="A763">
            <v>978734002</v>
          </cell>
          <cell r="B763" t="str">
            <v>65.111.08893-6</v>
          </cell>
          <cell r="C763" t="str">
            <v xml:space="preserve">TAMPA PROT PUXADOR TRV PNL ROHS                     REV-01  </v>
          </cell>
          <cell r="D763" t="str">
            <v/>
          </cell>
          <cell r="E763" t="str">
            <v>KION IND E COM LT</v>
          </cell>
          <cell r="F763">
            <v>401</v>
          </cell>
          <cell r="G763">
            <v>44046</v>
          </cell>
          <cell r="H763">
            <v>376920</v>
          </cell>
          <cell r="J763">
            <v>0</v>
          </cell>
          <cell r="K763">
            <v>300</v>
          </cell>
          <cell r="L763">
            <v>300</v>
          </cell>
          <cell r="P763">
            <v>300</v>
          </cell>
          <cell r="Q763" t="str">
            <v>material em tratamento superficial - previsão de entrega até 07/08</v>
          </cell>
          <cell r="R763" t="str">
            <v>06/08 - B</v>
          </cell>
          <cell r="S763">
            <v>44046</v>
          </cell>
          <cell r="T763">
            <v>4</v>
          </cell>
        </row>
        <row r="764">
          <cell r="A764">
            <v>982075441</v>
          </cell>
          <cell r="B764" t="str">
            <v>65.111.08893-6</v>
          </cell>
          <cell r="C764" t="str">
            <v xml:space="preserve">TAMPA PROT PUXADOR TRV PNL ROHS                     REV-01  </v>
          </cell>
          <cell r="D764" t="str">
            <v/>
          </cell>
          <cell r="E764" t="str">
            <v>KION IND E COM LT</v>
          </cell>
          <cell r="F764">
            <v>401</v>
          </cell>
          <cell r="G764">
            <v>44081</v>
          </cell>
          <cell r="H764">
            <v>377860</v>
          </cell>
          <cell r="J764">
            <v>35</v>
          </cell>
          <cell r="K764">
            <v>200</v>
          </cell>
          <cell r="L764">
            <v>200</v>
          </cell>
          <cell r="P764">
            <v>200</v>
          </cell>
          <cell r="Q764" t="str">
            <v xml:space="preserve">OP 29/07 - FM </v>
          </cell>
          <cell r="S764">
            <v>44074</v>
          </cell>
          <cell r="T764">
            <v>8</v>
          </cell>
        </row>
        <row r="765">
          <cell r="A765">
            <v>982075442</v>
          </cell>
          <cell r="B765" t="str">
            <v>65.111.08893-6</v>
          </cell>
          <cell r="C765" t="str">
            <v xml:space="preserve">TAMPA PROT PUXADOR TRV PNL ROHS                     REV-01  </v>
          </cell>
          <cell r="D765" t="str">
            <v/>
          </cell>
          <cell r="E765" t="str">
            <v>KION IND E COM LT</v>
          </cell>
          <cell r="F765">
            <v>401</v>
          </cell>
          <cell r="G765">
            <v>44102</v>
          </cell>
          <cell r="H765">
            <v>377860</v>
          </cell>
          <cell r="J765">
            <v>56</v>
          </cell>
          <cell r="K765">
            <v>250</v>
          </cell>
          <cell r="L765">
            <v>250</v>
          </cell>
          <cell r="P765">
            <v>250</v>
          </cell>
          <cell r="Q765" t="str">
            <v/>
          </cell>
          <cell r="S765">
            <v>44095</v>
          </cell>
          <cell r="T765">
            <v>11</v>
          </cell>
        </row>
        <row r="766">
          <cell r="A766">
            <v>982075443</v>
          </cell>
          <cell r="B766" t="str">
            <v>65.111.08893-6</v>
          </cell>
          <cell r="C766" t="str">
            <v xml:space="preserve">TAMPA PROT PUXADOR TRV PNL ROHS                     REV-01  </v>
          </cell>
          <cell r="D766" t="str">
            <v/>
          </cell>
          <cell r="E766" t="str">
            <v>KION IND E COM LT</v>
          </cell>
          <cell r="F766">
            <v>401</v>
          </cell>
          <cell r="G766">
            <v>44130</v>
          </cell>
          <cell r="H766">
            <v>377860</v>
          </cell>
          <cell r="J766">
            <v>84</v>
          </cell>
          <cell r="K766">
            <v>180</v>
          </cell>
          <cell r="L766">
            <v>180</v>
          </cell>
          <cell r="P766">
            <v>180</v>
          </cell>
          <cell r="Q766" t="str">
            <v/>
          </cell>
          <cell r="S766" t="str">
            <v>DF</v>
          </cell>
          <cell r="T766" t="str">
            <v>DF</v>
          </cell>
        </row>
        <row r="767">
          <cell r="A767">
            <v>982075481</v>
          </cell>
          <cell r="B767" t="str">
            <v>65.111.08921-2</v>
          </cell>
          <cell r="C767" t="str">
            <v xml:space="preserve">SUP FIX ANTENA WIFI EXT ROHS                        REV-00  </v>
          </cell>
          <cell r="D767" t="str">
            <v/>
          </cell>
          <cell r="E767" t="str">
            <v>KION IND E COM LT</v>
          </cell>
          <cell r="F767">
            <v>401</v>
          </cell>
          <cell r="G767">
            <v>44081</v>
          </cell>
          <cell r="H767">
            <v>377860</v>
          </cell>
          <cell r="J767">
            <v>35</v>
          </cell>
          <cell r="K767">
            <v>260</v>
          </cell>
          <cell r="L767">
            <v>260</v>
          </cell>
          <cell r="P767">
            <v>260</v>
          </cell>
          <cell r="Q767" t="str">
            <v xml:space="preserve">OP 29/07 - FM </v>
          </cell>
          <cell r="S767">
            <v>44074</v>
          </cell>
          <cell r="T767">
            <v>8</v>
          </cell>
        </row>
        <row r="768">
          <cell r="A768">
            <v>982075482</v>
          </cell>
          <cell r="B768" t="str">
            <v>65.111.08921-2</v>
          </cell>
          <cell r="C768" t="str">
            <v xml:space="preserve">SUP FIX ANTENA WIFI EXT ROHS                        REV-00  </v>
          </cell>
          <cell r="D768" t="str">
            <v/>
          </cell>
          <cell r="E768" t="str">
            <v>KION IND E COM LT</v>
          </cell>
          <cell r="F768">
            <v>401</v>
          </cell>
          <cell r="G768">
            <v>44102</v>
          </cell>
          <cell r="H768">
            <v>377860</v>
          </cell>
          <cell r="J768">
            <v>56</v>
          </cell>
          <cell r="K768">
            <v>220</v>
          </cell>
          <cell r="L768">
            <v>220</v>
          </cell>
          <cell r="P768">
            <v>220</v>
          </cell>
          <cell r="Q768" t="str">
            <v/>
          </cell>
          <cell r="S768">
            <v>44095</v>
          </cell>
          <cell r="T768">
            <v>11</v>
          </cell>
        </row>
        <row r="769">
          <cell r="A769">
            <v>982075483</v>
          </cell>
          <cell r="B769" t="str">
            <v>65.111.08921-2</v>
          </cell>
          <cell r="C769" t="str">
            <v xml:space="preserve">SUP FIX ANTENA WIFI EXT ROHS                        REV-00  </v>
          </cell>
          <cell r="D769" t="str">
            <v/>
          </cell>
          <cell r="E769" t="str">
            <v>KION IND E COM LT</v>
          </cell>
          <cell r="F769">
            <v>401</v>
          </cell>
          <cell r="G769">
            <v>44130</v>
          </cell>
          <cell r="H769">
            <v>377860</v>
          </cell>
          <cell r="J769">
            <v>84</v>
          </cell>
          <cell r="K769">
            <v>200</v>
          </cell>
          <cell r="L769">
            <v>200</v>
          </cell>
          <cell r="P769">
            <v>200</v>
          </cell>
          <cell r="Q769" t="str">
            <v/>
          </cell>
          <cell r="S769" t="str">
            <v>DF</v>
          </cell>
          <cell r="T769" t="str">
            <v>DF</v>
          </cell>
        </row>
        <row r="770">
          <cell r="A770">
            <v>982079771</v>
          </cell>
          <cell r="B770" t="str">
            <v>65.111.08922-9</v>
          </cell>
          <cell r="C770" t="str">
            <v xml:space="preserve">GUIA EIXO 2 SEGURANCA PORTA GAB ROHS                REV-00  </v>
          </cell>
          <cell r="D770" t="str">
            <v/>
          </cell>
          <cell r="E770" t="str">
            <v>KION IND E COM LT</v>
          </cell>
          <cell r="F770">
            <v>401</v>
          </cell>
          <cell r="G770">
            <v>44081</v>
          </cell>
          <cell r="H770">
            <v>377860</v>
          </cell>
          <cell r="J770">
            <v>35</v>
          </cell>
          <cell r="K770">
            <v>300</v>
          </cell>
          <cell r="L770">
            <v>300</v>
          </cell>
          <cell r="P770">
            <v>300</v>
          </cell>
          <cell r="Q770" t="str">
            <v xml:space="preserve">OP 29/07 - FM </v>
          </cell>
          <cell r="S770">
            <v>44074</v>
          </cell>
          <cell r="T770">
            <v>8</v>
          </cell>
        </row>
        <row r="771">
          <cell r="A771">
            <v>982079772</v>
          </cell>
          <cell r="B771" t="str">
            <v>65.111.08922-9</v>
          </cell>
          <cell r="C771" t="str">
            <v xml:space="preserve">GUIA EIXO 2 SEGURANCA PORTA GAB ROHS                REV-00  </v>
          </cell>
          <cell r="D771" t="str">
            <v/>
          </cell>
          <cell r="E771" t="str">
            <v>KION IND E COM LT</v>
          </cell>
          <cell r="F771">
            <v>401</v>
          </cell>
          <cell r="G771">
            <v>44102</v>
          </cell>
          <cell r="H771">
            <v>377860</v>
          </cell>
          <cell r="J771">
            <v>56</v>
          </cell>
          <cell r="K771">
            <v>200</v>
          </cell>
          <cell r="L771">
            <v>200</v>
          </cell>
          <cell r="P771">
            <v>200</v>
          </cell>
          <cell r="Q771" t="str">
            <v/>
          </cell>
          <cell r="S771">
            <v>44095</v>
          </cell>
          <cell r="T771">
            <v>11</v>
          </cell>
        </row>
        <row r="772">
          <cell r="A772">
            <v>982079773</v>
          </cell>
          <cell r="B772" t="str">
            <v>65.111.08922-9</v>
          </cell>
          <cell r="C772" t="str">
            <v xml:space="preserve">GUIA EIXO 2 SEGURANCA PORTA GAB ROHS                REV-00  </v>
          </cell>
          <cell r="D772" t="str">
            <v/>
          </cell>
          <cell r="E772" t="str">
            <v>KION IND E COM LT</v>
          </cell>
          <cell r="F772">
            <v>401</v>
          </cell>
          <cell r="G772">
            <v>44130</v>
          </cell>
          <cell r="H772">
            <v>377860</v>
          </cell>
          <cell r="J772">
            <v>84</v>
          </cell>
          <cell r="K772">
            <v>180</v>
          </cell>
          <cell r="L772">
            <v>180</v>
          </cell>
          <cell r="P772">
            <v>180</v>
          </cell>
          <cell r="Q772" t="str">
            <v/>
          </cell>
          <cell r="S772" t="str">
            <v>DF</v>
          </cell>
          <cell r="T772" t="str">
            <v>DF</v>
          </cell>
        </row>
        <row r="773">
          <cell r="A773">
            <v>978861003</v>
          </cell>
          <cell r="B773" t="str">
            <v>65.111.08935-9</v>
          </cell>
          <cell r="C773" t="str">
            <v xml:space="preserve">TRV FERROLHO PT CF ATMR4500 BB 2019 ROHS            REV-00  </v>
          </cell>
          <cell r="D773" t="str">
            <v/>
          </cell>
          <cell r="E773" t="str">
            <v>KION IND E COM LT</v>
          </cell>
          <cell r="F773">
            <v>401</v>
          </cell>
          <cell r="G773">
            <v>44046</v>
          </cell>
          <cell r="H773">
            <v>376920</v>
          </cell>
          <cell r="J773">
            <v>0</v>
          </cell>
          <cell r="K773">
            <v>150</v>
          </cell>
          <cell r="L773">
            <v>150</v>
          </cell>
          <cell r="O773">
            <v>50</v>
          </cell>
          <cell r="P773">
            <v>100</v>
          </cell>
          <cell r="Q773" t="str">
            <v>Trat. 10/08 - 413p - DIADEMA</v>
          </cell>
          <cell r="S773">
            <v>44067</v>
          </cell>
          <cell r="T773">
            <v>7</v>
          </cell>
        </row>
        <row r="774">
          <cell r="A774">
            <v>982075061</v>
          </cell>
          <cell r="B774" t="str">
            <v>65.111.08935-9</v>
          </cell>
          <cell r="C774" t="str">
            <v xml:space="preserve">TRV FERROLHO PT CF ATMR4500 BB 2019 ROHS            REV-00  </v>
          </cell>
          <cell r="D774" t="str">
            <v/>
          </cell>
          <cell r="E774" t="str">
            <v>KION IND E COM LT</v>
          </cell>
          <cell r="F774">
            <v>401</v>
          </cell>
          <cell r="G774">
            <v>44081</v>
          </cell>
          <cell r="H774">
            <v>377860</v>
          </cell>
          <cell r="J774">
            <v>35</v>
          </cell>
          <cell r="K774">
            <v>260</v>
          </cell>
          <cell r="L774">
            <v>260</v>
          </cell>
          <cell r="P774">
            <v>260</v>
          </cell>
          <cell r="Q774" t="str">
            <v>Trat. 10/08 - DIADEMA</v>
          </cell>
          <cell r="S774">
            <v>44074</v>
          </cell>
          <cell r="T774">
            <v>8</v>
          </cell>
        </row>
        <row r="775">
          <cell r="A775">
            <v>982075062</v>
          </cell>
          <cell r="B775" t="str">
            <v>65.111.08935-9</v>
          </cell>
          <cell r="C775" t="str">
            <v xml:space="preserve">TRV FERROLHO PT CF ATMR4500 BB 2019 ROHS            REV-00  </v>
          </cell>
          <cell r="D775" t="str">
            <v/>
          </cell>
          <cell r="E775" t="str">
            <v>KION IND E COM LT</v>
          </cell>
          <cell r="F775">
            <v>401</v>
          </cell>
          <cell r="G775">
            <v>44102</v>
          </cell>
          <cell r="H775">
            <v>377860</v>
          </cell>
          <cell r="J775">
            <v>56</v>
          </cell>
          <cell r="K775">
            <v>220</v>
          </cell>
          <cell r="L775">
            <v>220</v>
          </cell>
          <cell r="P775">
            <v>220</v>
          </cell>
          <cell r="Q775" t="str">
            <v/>
          </cell>
          <cell r="S775">
            <v>44095</v>
          </cell>
          <cell r="T775">
            <v>11</v>
          </cell>
        </row>
        <row r="776">
          <cell r="A776">
            <v>982075063</v>
          </cell>
          <cell r="B776" t="str">
            <v>65.111.08935-9</v>
          </cell>
          <cell r="C776" t="str">
            <v xml:space="preserve">TRV FERROLHO PT CF ATMR4500 BB 2019 ROHS            REV-00  </v>
          </cell>
          <cell r="D776" t="str">
            <v/>
          </cell>
          <cell r="E776" t="str">
            <v>KION IND E COM LT</v>
          </cell>
          <cell r="F776">
            <v>401</v>
          </cell>
          <cell r="G776">
            <v>44130</v>
          </cell>
          <cell r="H776">
            <v>377860</v>
          </cell>
          <cell r="J776">
            <v>84</v>
          </cell>
          <cell r="K776">
            <v>200</v>
          </cell>
          <cell r="L776">
            <v>200</v>
          </cell>
          <cell r="P776">
            <v>200</v>
          </cell>
          <cell r="Q776" t="str">
            <v/>
          </cell>
          <cell r="S776" t="str">
            <v>DF</v>
          </cell>
          <cell r="T776" t="str">
            <v>DF</v>
          </cell>
        </row>
        <row r="777">
          <cell r="A777">
            <v>978861002</v>
          </cell>
          <cell r="B777" t="str">
            <v>65.111.08935-9</v>
          </cell>
          <cell r="C777" t="str">
            <v xml:space="preserve">TRV FERROLHO PT CF ATMR4500 BB 2019 ROHS            REV-00  </v>
          </cell>
          <cell r="D777" t="str">
            <v/>
          </cell>
          <cell r="E777" t="str">
            <v>KION IND E COM LT</v>
          </cell>
          <cell r="F777">
            <v>401</v>
          </cell>
          <cell r="G777">
            <v>44032</v>
          </cell>
          <cell r="H777">
            <v>376920</v>
          </cell>
          <cell r="J777">
            <v>-14</v>
          </cell>
          <cell r="K777">
            <v>150</v>
          </cell>
          <cell r="L777">
            <v>100</v>
          </cell>
          <cell r="O777">
            <v>50</v>
          </cell>
          <cell r="P777">
            <v>50</v>
          </cell>
          <cell r="Q777" t="str">
            <v>material em tratamento superficial - previsão de entrega até 07/08</v>
          </cell>
          <cell r="S777">
            <v>44053</v>
          </cell>
          <cell r="T777">
            <v>5</v>
          </cell>
        </row>
        <row r="778">
          <cell r="A778">
            <v>982070091</v>
          </cell>
          <cell r="B778" t="str">
            <v>65.111.08938-0</v>
          </cell>
          <cell r="C778" t="str">
            <v xml:space="preserve">CHAPA PRENSA CB MESH ROHS                           REV-00  </v>
          </cell>
          <cell r="D778" t="str">
            <v/>
          </cell>
          <cell r="E778" t="str">
            <v>KION IND E COM LT</v>
          </cell>
          <cell r="F778">
            <v>401</v>
          </cell>
          <cell r="G778">
            <v>44060</v>
          </cell>
          <cell r="H778">
            <v>377859</v>
          </cell>
          <cell r="J778">
            <v>14</v>
          </cell>
          <cell r="K778">
            <v>400</v>
          </cell>
          <cell r="L778">
            <v>400</v>
          </cell>
          <cell r="P778">
            <v>400</v>
          </cell>
          <cell r="Q778" t="str">
            <v xml:space="preserve">OP 29/07 - FM </v>
          </cell>
          <cell r="S778">
            <v>44067</v>
          </cell>
          <cell r="T778">
            <v>7</v>
          </cell>
        </row>
        <row r="779">
          <cell r="A779">
            <v>982070092</v>
          </cell>
          <cell r="B779" t="str">
            <v>65.111.08938-0</v>
          </cell>
          <cell r="C779" t="str">
            <v xml:space="preserve">CHAPA PRENSA CB MESH ROHS                           REV-00  </v>
          </cell>
          <cell r="D779" t="str">
            <v/>
          </cell>
          <cell r="E779" t="str">
            <v>KION IND E COM LT</v>
          </cell>
          <cell r="F779">
            <v>401</v>
          </cell>
          <cell r="G779">
            <v>44081</v>
          </cell>
          <cell r="H779">
            <v>377859</v>
          </cell>
          <cell r="J779">
            <v>35</v>
          </cell>
          <cell r="K779">
            <v>300</v>
          </cell>
          <cell r="L779">
            <v>300</v>
          </cell>
          <cell r="P779">
            <v>300</v>
          </cell>
          <cell r="Q779" t="str">
            <v/>
          </cell>
          <cell r="S779">
            <v>44109</v>
          </cell>
          <cell r="T779">
            <v>13</v>
          </cell>
        </row>
        <row r="780">
          <cell r="A780">
            <v>980757001</v>
          </cell>
          <cell r="B780" t="str">
            <v>65.111.08939-7</v>
          </cell>
          <cell r="C780" t="str">
            <v xml:space="preserve">SUP CB USB 3.0 PNL FRONTAL TFL 2019 ROHS            REV-00  </v>
          </cell>
          <cell r="D780" t="str">
            <v/>
          </cell>
          <cell r="E780" t="str">
            <v>KION IND E COM LT</v>
          </cell>
          <cell r="F780">
            <v>401</v>
          </cell>
          <cell r="G780">
            <v>44025</v>
          </cell>
          <cell r="H780">
            <v>377203</v>
          </cell>
          <cell r="J780">
            <v>-21</v>
          </cell>
          <cell r="K780">
            <v>2505</v>
          </cell>
          <cell r="L780">
            <v>2505</v>
          </cell>
          <cell r="P780">
            <v>2505</v>
          </cell>
          <cell r="Q780" t="str">
            <v>Trat. 11/08 - 1500p - ZF</v>
          </cell>
          <cell r="S780">
            <v>44060</v>
          </cell>
          <cell r="T780">
            <v>6</v>
          </cell>
        </row>
        <row r="781">
          <cell r="A781">
            <v>978708003</v>
          </cell>
          <cell r="B781" t="str">
            <v>65.111.08941-0</v>
          </cell>
          <cell r="C781" t="str">
            <v xml:space="preserve">SUP FIX DIR TRILHO/TRINCO IMP ROHS                  REV-00  </v>
          </cell>
          <cell r="D781" t="str">
            <v/>
          </cell>
          <cell r="E781" t="str">
            <v>KION IND E COM LT</v>
          </cell>
          <cell r="F781">
            <v>401</v>
          </cell>
          <cell r="G781">
            <v>44046</v>
          </cell>
          <cell r="H781">
            <v>376920</v>
          </cell>
          <cell r="J781">
            <v>0</v>
          </cell>
          <cell r="K781">
            <v>300</v>
          </cell>
          <cell r="L781">
            <v>300</v>
          </cell>
          <cell r="P781">
            <v>300</v>
          </cell>
          <cell r="Q781" t="str">
            <v>Trat. 05/08 - 602p - ZF</v>
          </cell>
          <cell r="S781">
            <v>44046</v>
          </cell>
          <cell r="T781">
            <v>4</v>
          </cell>
        </row>
        <row r="782">
          <cell r="A782">
            <v>982075001</v>
          </cell>
          <cell r="B782" t="str">
            <v>65.111.08941-0</v>
          </cell>
          <cell r="C782" t="str">
            <v xml:space="preserve">SUP FIX DIR TRILHO/TRINCO IMP ROHS                  REV-00  </v>
          </cell>
          <cell r="D782" t="str">
            <v/>
          </cell>
          <cell r="E782" t="str">
            <v>KION IND E COM LT</v>
          </cell>
          <cell r="F782">
            <v>401</v>
          </cell>
          <cell r="G782">
            <v>44081</v>
          </cell>
          <cell r="H782">
            <v>377860</v>
          </cell>
          <cell r="J782">
            <v>35</v>
          </cell>
          <cell r="K782">
            <v>500</v>
          </cell>
          <cell r="L782">
            <v>500</v>
          </cell>
          <cell r="P782">
            <v>500</v>
          </cell>
          <cell r="Q782" t="str">
            <v>OP 29/07</v>
          </cell>
          <cell r="S782">
            <v>44074</v>
          </cell>
          <cell r="T782">
            <v>8</v>
          </cell>
        </row>
        <row r="783">
          <cell r="A783">
            <v>982075002</v>
          </cell>
          <cell r="B783" t="str">
            <v>65.111.08941-0</v>
          </cell>
          <cell r="C783" t="str">
            <v xml:space="preserve">SUP FIX DIR TRILHO/TRINCO IMP ROHS                  REV-00  </v>
          </cell>
          <cell r="D783" t="str">
            <v/>
          </cell>
          <cell r="E783" t="str">
            <v>KION IND E COM LT</v>
          </cell>
          <cell r="F783">
            <v>401</v>
          </cell>
          <cell r="G783">
            <v>44102</v>
          </cell>
          <cell r="H783">
            <v>377860</v>
          </cell>
          <cell r="J783">
            <v>56</v>
          </cell>
          <cell r="K783">
            <v>460</v>
          </cell>
          <cell r="L783">
            <v>460</v>
          </cell>
          <cell r="P783">
            <v>460</v>
          </cell>
          <cell r="Q783" t="str">
            <v/>
          </cell>
          <cell r="S783">
            <v>44095</v>
          </cell>
          <cell r="T783">
            <v>11</v>
          </cell>
        </row>
        <row r="784">
          <cell r="A784">
            <v>982075003</v>
          </cell>
          <cell r="B784" t="str">
            <v>65.111.08941-0</v>
          </cell>
          <cell r="C784" t="str">
            <v xml:space="preserve">SUP FIX DIR TRILHO/TRINCO IMP ROHS                  REV-00  </v>
          </cell>
          <cell r="D784" t="str">
            <v/>
          </cell>
          <cell r="E784" t="str">
            <v>KION IND E COM LT</v>
          </cell>
          <cell r="F784">
            <v>401</v>
          </cell>
          <cell r="G784">
            <v>44130</v>
          </cell>
          <cell r="H784">
            <v>377860</v>
          </cell>
          <cell r="J784">
            <v>84</v>
          </cell>
          <cell r="K784">
            <v>400</v>
          </cell>
          <cell r="L784">
            <v>400</v>
          </cell>
          <cell r="P784">
            <v>400</v>
          </cell>
          <cell r="Q784" t="str">
            <v/>
          </cell>
          <cell r="S784" t="str">
            <v>DF</v>
          </cell>
          <cell r="T784" t="str">
            <v>DF</v>
          </cell>
        </row>
        <row r="785">
          <cell r="A785">
            <v>978708004</v>
          </cell>
          <cell r="B785" t="str">
            <v>65.111.08941-0</v>
          </cell>
          <cell r="C785" t="str">
            <v xml:space="preserve">SUP FIX DIR TRILHO/TRINCO IMP ROHS                  REV-00  </v>
          </cell>
          <cell r="D785" t="str">
            <v/>
          </cell>
          <cell r="E785" t="str">
            <v>KION IND E COM LT</v>
          </cell>
          <cell r="F785">
            <v>401</v>
          </cell>
          <cell r="G785">
            <v>44060</v>
          </cell>
          <cell r="H785">
            <v>376920</v>
          </cell>
          <cell r="J785">
            <v>14</v>
          </cell>
          <cell r="K785">
            <v>300</v>
          </cell>
          <cell r="L785">
            <v>300</v>
          </cell>
          <cell r="P785">
            <v>300</v>
          </cell>
          <cell r="Q785" t="str">
            <v>Trat. 05/08 - ZF</v>
          </cell>
          <cell r="S785">
            <v>44053</v>
          </cell>
          <cell r="T785">
            <v>5</v>
          </cell>
        </row>
        <row r="786">
          <cell r="A786">
            <v>982075091</v>
          </cell>
          <cell r="B786" t="str">
            <v>65.111.08942-7</v>
          </cell>
          <cell r="C786" t="str">
            <v xml:space="preserve">CHAPA EXTENSORA FIX MOD SAFE RM4                    REV-00  </v>
          </cell>
          <cell r="D786" t="str">
            <v/>
          </cell>
          <cell r="E786" t="str">
            <v>KION IND E COM LT</v>
          </cell>
          <cell r="F786">
            <v>401</v>
          </cell>
          <cell r="G786">
            <v>44067</v>
          </cell>
          <cell r="H786">
            <v>377860</v>
          </cell>
          <cell r="J786">
            <v>21</v>
          </cell>
          <cell r="K786">
            <v>250</v>
          </cell>
          <cell r="L786">
            <v>250</v>
          </cell>
          <cell r="P786">
            <v>250</v>
          </cell>
          <cell r="Q786" t="str">
            <v xml:space="preserve">OP 29/07 - FM </v>
          </cell>
          <cell r="S786">
            <v>44067</v>
          </cell>
          <cell r="T786">
            <v>7</v>
          </cell>
        </row>
        <row r="787">
          <cell r="A787">
            <v>982075092</v>
          </cell>
          <cell r="B787" t="str">
            <v>65.111.08942-7</v>
          </cell>
          <cell r="C787" t="str">
            <v xml:space="preserve">CHAPA EXTENSORA FIX MOD SAFE RM4                    REV-00  </v>
          </cell>
          <cell r="D787" t="str">
            <v/>
          </cell>
          <cell r="E787" t="str">
            <v>KION IND E COM LT</v>
          </cell>
          <cell r="F787">
            <v>401</v>
          </cell>
          <cell r="G787">
            <v>44081</v>
          </cell>
          <cell r="H787">
            <v>377860</v>
          </cell>
          <cell r="J787">
            <v>35</v>
          </cell>
          <cell r="K787">
            <v>250</v>
          </cell>
          <cell r="L787">
            <v>250</v>
          </cell>
          <cell r="P787">
            <v>250</v>
          </cell>
          <cell r="Q787" t="str">
            <v xml:space="preserve">OP 29/07 - FM </v>
          </cell>
          <cell r="S787">
            <v>44074</v>
          </cell>
          <cell r="T787">
            <v>8</v>
          </cell>
        </row>
        <row r="788">
          <cell r="A788">
            <v>982075093</v>
          </cell>
          <cell r="B788" t="str">
            <v>65.111.08942-7</v>
          </cell>
          <cell r="C788" t="str">
            <v xml:space="preserve">CHAPA EXTENSORA FIX MOD SAFE RM4                    REV-00  </v>
          </cell>
          <cell r="D788" t="str">
            <v/>
          </cell>
          <cell r="E788" t="str">
            <v>KION IND E COM LT</v>
          </cell>
          <cell r="F788">
            <v>401</v>
          </cell>
          <cell r="G788">
            <v>44095</v>
          </cell>
          <cell r="H788">
            <v>377860</v>
          </cell>
          <cell r="J788">
            <v>49</v>
          </cell>
          <cell r="K788">
            <v>450</v>
          </cell>
          <cell r="L788">
            <v>450</v>
          </cell>
          <cell r="P788">
            <v>450</v>
          </cell>
          <cell r="Q788" t="str">
            <v xml:space="preserve">OP 29/07 - FM </v>
          </cell>
          <cell r="S788">
            <v>44081</v>
          </cell>
          <cell r="T788">
            <v>9</v>
          </cell>
        </row>
        <row r="789">
          <cell r="A789">
            <v>982075094</v>
          </cell>
          <cell r="B789" t="str">
            <v>65.111.08942-7</v>
          </cell>
          <cell r="C789" t="str">
            <v xml:space="preserve">CHAPA EXTENSORA FIX MOD SAFE RM4                    REV-00  </v>
          </cell>
          <cell r="D789" t="str">
            <v/>
          </cell>
          <cell r="E789" t="str">
            <v>KION IND E COM LT</v>
          </cell>
          <cell r="F789">
            <v>401</v>
          </cell>
          <cell r="G789">
            <v>44123</v>
          </cell>
          <cell r="H789">
            <v>377860</v>
          </cell>
          <cell r="J789">
            <v>77</v>
          </cell>
          <cell r="K789">
            <v>200</v>
          </cell>
          <cell r="L789">
            <v>200</v>
          </cell>
          <cell r="P789">
            <v>200</v>
          </cell>
          <cell r="Q789" t="str">
            <v/>
          </cell>
          <cell r="S789">
            <v>44109</v>
          </cell>
          <cell r="T789">
            <v>13</v>
          </cell>
        </row>
        <row r="790">
          <cell r="A790">
            <v>982075095</v>
          </cell>
          <cell r="B790" t="str">
            <v>65.111.08942-7</v>
          </cell>
          <cell r="C790" t="str">
            <v xml:space="preserve">CHAPA EXTENSORA FIX MOD SAFE RM4                    REV-00  </v>
          </cell>
          <cell r="D790" t="str">
            <v/>
          </cell>
          <cell r="E790" t="str">
            <v>KION IND E COM LT</v>
          </cell>
          <cell r="F790">
            <v>401</v>
          </cell>
          <cell r="G790">
            <v>44130</v>
          </cell>
          <cell r="H790">
            <v>377860</v>
          </cell>
          <cell r="J790">
            <v>84</v>
          </cell>
          <cell r="K790">
            <v>160</v>
          </cell>
          <cell r="L790">
            <v>160</v>
          </cell>
          <cell r="P790">
            <v>160</v>
          </cell>
          <cell r="Q790" t="str">
            <v/>
          </cell>
          <cell r="S790" t="str">
            <v>DF</v>
          </cell>
          <cell r="T790" t="str">
            <v>DF</v>
          </cell>
        </row>
        <row r="791">
          <cell r="A791">
            <v>982089331</v>
          </cell>
          <cell r="B791" t="str">
            <v>65.111.08942-7</v>
          </cell>
          <cell r="C791" t="str">
            <v xml:space="preserve">CHAPA EXTENSORA FIX MOD SAFE RM4                    REV-00  </v>
          </cell>
          <cell r="D791" t="str">
            <v/>
          </cell>
          <cell r="E791" t="str">
            <v>KION IND E COM LT</v>
          </cell>
          <cell r="F791">
            <v>401</v>
          </cell>
          <cell r="G791">
            <v>44130</v>
          </cell>
          <cell r="H791">
            <v>377860</v>
          </cell>
          <cell r="J791">
            <v>84</v>
          </cell>
          <cell r="K791">
            <v>100</v>
          </cell>
          <cell r="L791">
            <v>100</v>
          </cell>
          <cell r="P791">
            <v>100</v>
          </cell>
          <cell r="Q791" t="str">
            <v/>
          </cell>
          <cell r="S791" t="str">
            <v>DF</v>
          </cell>
          <cell r="T791" t="str">
            <v>DF</v>
          </cell>
        </row>
        <row r="792">
          <cell r="A792">
            <v>982075381</v>
          </cell>
          <cell r="B792" t="str">
            <v>65.111.08951-9</v>
          </cell>
          <cell r="C792" t="str">
            <v xml:space="preserve">APOIO MASCARA MET PNL ROHS                          REV-00  </v>
          </cell>
          <cell r="D792" t="str">
            <v/>
          </cell>
          <cell r="E792" t="str">
            <v>KION IND E COM LT</v>
          </cell>
          <cell r="F792">
            <v>401</v>
          </cell>
          <cell r="G792">
            <v>44081</v>
          </cell>
          <cell r="H792">
            <v>377860</v>
          </cell>
          <cell r="J792">
            <v>35</v>
          </cell>
          <cell r="K792">
            <v>260</v>
          </cell>
          <cell r="L792">
            <v>260</v>
          </cell>
          <cell r="P792">
            <v>260</v>
          </cell>
          <cell r="Q792" t="str">
            <v xml:space="preserve">OP 29/07 - FM </v>
          </cell>
          <cell r="S792">
            <v>44074</v>
          </cell>
          <cell r="T792">
            <v>8</v>
          </cell>
        </row>
        <row r="793">
          <cell r="A793">
            <v>982075382</v>
          </cell>
          <cell r="B793" t="str">
            <v>65.111.08951-9</v>
          </cell>
          <cell r="C793" t="str">
            <v xml:space="preserve">APOIO MASCARA MET PNL ROHS                          REV-00  </v>
          </cell>
          <cell r="D793" t="str">
            <v/>
          </cell>
          <cell r="E793" t="str">
            <v>KION IND E COM LT</v>
          </cell>
          <cell r="F793">
            <v>401</v>
          </cell>
          <cell r="G793">
            <v>44102</v>
          </cell>
          <cell r="H793">
            <v>377860</v>
          </cell>
          <cell r="J793">
            <v>56</v>
          </cell>
          <cell r="K793">
            <v>250</v>
          </cell>
          <cell r="L793">
            <v>250</v>
          </cell>
          <cell r="P793">
            <v>250</v>
          </cell>
          <cell r="Q793" t="str">
            <v/>
          </cell>
          <cell r="S793">
            <v>44095</v>
          </cell>
          <cell r="T793">
            <v>11</v>
          </cell>
        </row>
        <row r="794">
          <cell r="A794">
            <v>982075383</v>
          </cell>
          <cell r="B794" t="str">
            <v>65.111.08951-9</v>
          </cell>
          <cell r="C794" t="str">
            <v xml:space="preserve">APOIO MASCARA MET PNL ROHS                          REV-00  </v>
          </cell>
          <cell r="D794" t="str">
            <v/>
          </cell>
          <cell r="E794" t="str">
            <v>KION IND E COM LT</v>
          </cell>
          <cell r="F794">
            <v>401</v>
          </cell>
          <cell r="G794">
            <v>44130</v>
          </cell>
          <cell r="H794">
            <v>377860</v>
          </cell>
          <cell r="J794">
            <v>84</v>
          </cell>
          <cell r="K794">
            <v>180</v>
          </cell>
          <cell r="L794">
            <v>180</v>
          </cell>
          <cell r="P794">
            <v>180</v>
          </cell>
          <cell r="Q794" t="str">
            <v/>
          </cell>
          <cell r="S794" t="str">
            <v>DF</v>
          </cell>
          <cell r="T794" t="str">
            <v>DF</v>
          </cell>
        </row>
        <row r="795">
          <cell r="A795">
            <v>982070051</v>
          </cell>
          <cell r="B795" t="str">
            <v>65.111.08978-6</v>
          </cell>
          <cell r="C795" t="str">
            <v xml:space="preserve">SUPORTE FIX IMA PT COFRE ROHS                       REV-00  </v>
          </cell>
          <cell r="D795" t="str">
            <v/>
          </cell>
          <cell r="E795" t="str">
            <v>KION IND E COM LT</v>
          </cell>
          <cell r="F795">
            <v>401</v>
          </cell>
          <cell r="G795">
            <v>44060</v>
          </cell>
          <cell r="H795">
            <v>377859</v>
          </cell>
          <cell r="J795">
            <v>14</v>
          </cell>
          <cell r="K795">
            <v>350</v>
          </cell>
          <cell r="L795">
            <v>350</v>
          </cell>
          <cell r="P795">
            <v>350</v>
          </cell>
          <cell r="Q795" t="str">
            <v>Trat. 30/07 - 338p - ZF</v>
          </cell>
          <cell r="S795">
            <v>44060</v>
          </cell>
          <cell r="T795">
            <v>6</v>
          </cell>
        </row>
        <row r="796">
          <cell r="A796">
            <v>982070052</v>
          </cell>
          <cell r="B796" t="str">
            <v>65.111.08978-6</v>
          </cell>
          <cell r="C796" t="str">
            <v xml:space="preserve">SUPORTE FIX IMA PT COFRE ROHS                       REV-00  </v>
          </cell>
          <cell r="D796" t="str">
            <v/>
          </cell>
          <cell r="E796" t="str">
            <v>KION IND E COM LT</v>
          </cell>
          <cell r="F796">
            <v>401</v>
          </cell>
          <cell r="G796">
            <v>44081</v>
          </cell>
          <cell r="H796">
            <v>377859</v>
          </cell>
          <cell r="J796">
            <v>35</v>
          </cell>
          <cell r="K796">
            <v>300</v>
          </cell>
          <cell r="L796">
            <v>300</v>
          </cell>
          <cell r="P796">
            <v>300</v>
          </cell>
          <cell r="Q796" t="str">
            <v/>
          </cell>
          <cell r="S796">
            <v>44081</v>
          </cell>
          <cell r="T796">
            <v>9</v>
          </cell>
        </row>
        <row r="797">
          <cell r="A797">
            <v>982070041</v>
          </cell>
          <cell r="B797" t="str">
            <v>65.111.08983-0</v>
          </cell>
          <cell r="C797" t="str">
            <v xml:space="preserve">OMEGA STOP PUSH BUTTON RM4 CF C/ CDP15 ROHS         REV-00  </v>
          </cell>
          <cell r="D797" t="str">
            <v/>
          </cell>
          <cell r="E797" t="str">
            <v>KION IND E COM LT</v>
          </cell>
          <cell r="F797">
            <v>401</v>
          </cell>
          <cell r="G797">
            <v>44060</v>
          </cell>
          <cell r="H797">
            <v>377859</v>
          </cell>
          <cell r="J797">
            <v>14</v>
          </cell>
          <cell r="K797">
            <v>350</v>
          </cell>
          <cell r="L797">
            <v>350</v>
          </cell>
          <cell r="P797">
            <v>350</v>
          </cell>
          <cell r="Q797" t="str">
            <v>Trat. 30/07 - 343p - ZF</v>
          </cell>
          <cell r="S797">
            <v>44060</v>
          </cell>
          <cell r="T797">
            <v>6</v>
          </cell>
        </row>
        <row r="798">
          <cell r="A798">
            <v>982070042</v>
          </cell>
          <cell r="B798" t="str">
            <v>65.111.08983-0</v>
          </cell>
          <cell r="C798" t="str">
            <v xml:space="preserve">OMEGA STOP PUSH BUTTON RM4 CF C/ CDP15 ROHS         REV-00  </v>
          </cell>
          <cell r="D798" t="str">
            <v/>
          </cell>
          <cell r="E798" t="str">
            <v>KION IND E COM LT</v>
          </cell>
          <cell r="F798">
            <v>401</v>
          </cell>
          <cell r="G798">
            <v>44081</v>
          </cell>
          <cell r="H798">
            <v>377859</v>
          </cell>
          <cell r="J798">
            <v>35</v>
          </cell>
          <cell r="K798">
            <v>300</v>
          </cell>
          <cell r="L798">
            <v>300</v>
          </cell>
          <cell r="P798">
            <v>300</v>
          </cell>
          <cell r="Q798" t="str">
            <v/>
          </cell>
          <cell r="S798">
            <v>44081</v>
          </cell>
          <cell r="T798">
            <v>9</v>
          </cell>
        </row>
        <row r="799">
          <cell r="A799">
            <v>202602175</v>
          </cell>
          <cell r="B799" t="str">
            <v>65.113.00533-3</v>
          </cell>
          <cell r="C799" t="str">
            <v>KIT CHASSI CEGO LOW PROFILE ROHS P/SLOT MOTHERB     REV-02</v>
          </cell>
          <cell r="D799" t="str">
            <v/>
          </cell>
          <cell r="E799" t="str">
            <v>KION IND E COM LT</v>
          </cell>
          <cell r="F799">
            <v>401</v>
          </cell>
          <cell r="G799">
            <v>43997</v>
          </cell>
          <cell r="H799">
            <v>668725</v>
          </cell>
          <cell r="I799" t="str">
            <v>K</v>
          </cell>
          <cell r="J799">
            <v>-49</v>
          </cell>
          <cell r="K799">
            <v>105</v>
          </cell>
          <cell r="L799">
            <v>105</v>
          </cell>
          <cell r="P799">
            <v>105</v>
          </cell>
          <cell r="Q799" t="str">
            <v>Trat. 10/08 - 500p - DIADEMA</v>
          </cell>
          <cell r="S799">
            <v>44081</v>
          </cell>
          <cell r="T799">
            <v>9</v>
          </cell>
        </row>
        <row r="800">
          <cell r="A800">
            <v>202602176</v>
          </cell>
          <cell r="B800" t="str">
            <v>65.113.00533-3</v>
          </cell>
          <cell r="C800" t="str">
            <v>KIT CHASSI CEGO LOW PROFILE ROHS P/SLOT MOTHERB     REV-02</v>
          </cell>
          <cell r="D800" t="str">
            <v/>
          </cell>
          <cell r="E800" t="str">
            <v>KION IND E COM LT</v>
          </cell>
          <cell r="F800">
            <v>401</v>
          </cell>
          <cell r="G800">
            <v>44025</v>
          </cell>
          <cell r="H800">
            <v>668725</v>
          </cell>
          <cell r="I800" t="str">
            <v>K</v>
          </cell>
          <cell r="J800">
            <v>-21</v>
          </cell>
          <cell r="K800">
            <v>100</v>
          </cell>
          <cell r="L800">
            <v>100</v>
          </cell>
          <cell r="P800">
            <v>100</v>
          </cell>
          <cell r="Q800" t="str">
            <v>Trat. 10/08 - DIADEMA</v>
          </cell>
          <cell r="S800" t="str">
            <v>DF</v>
          </cell>
          <cell r="T800" t="str">
            <v>DF</v>
          </cell>
        </row>
        <row r="801">
          <cell r="A801">
            <v>982112781</v>
          </cell>
          <cell r="B801" t="str">
            <v>65.003.00786-1</v>
          </cell>
          <cell r="C801" t="str">
            <v>SUPT MONTAGEM LAT ECRM 728 ROHS                     REV-01</v>
          </cell>
          <cell r="D801" t="str">
            <v/>
          </cell>
          <cell r="E801" t="str">
            <v>KION IND E COM LT</v>
          </cell>
          <cell r="F801">
            <v>401</v>
          </cell>
          <cell r="G801">
            <v>44040</v>
          </cell>
          <cell r="H801">
            <v>377987</v>
          </cell>
          <cell r="J801">
            <v>0</v>
          </cell>
          <cell r="K801">
            <v>10</v>
          </cell>
          <cell r="L801">
            <v>10</v>
          </cell>
          <cell r="N801">
            <v>10</v>
          </cell>
          <cell r="P801">
            <v>0</v>
          </cell>
          <cell r="Q801" t="str">
            <v>OP FEITA PELA CARTEIRA GERAL</v>
          </cell>
          <cell r="T801" t="str">
            <v>DF</v>
          </cell>
        </row>
        <row r="802">
          <cell r="A802">
            <v>202602177</v>
          </cell>
          <cell r="B802" t="str">
            <v>65.113.00533-3</v>
          </cell>
          <cell r="C802" t="str">
            <v>KIT CHASSI CEGO LOW PROFILE ROHS P/SLOT MOTHERB     REV-02</v>
          </cell>
          <cell r="D802" t="str">
            <v/>
          </cell>
          <cell r="E802" t="str">
            <v>KION IND E COM LT</v>
          </cell>
          <cell r="F802">
            <v>401</v>
          </cell>
          <cell r="G802">
            <v>44025</v>
          </cell>
          <cell r="H802">
            <v>668725</v>
          </cell>
          <cell r="I802" t="str">
            <v>K</v>
          </cell>
          <cell r="J802">
            <v>-21</v>
          </cell>
          <cell r="K802">
            <v>100</v>
          </cell>
          <cell r="L802">
            <v>100</v>
          </cell>
          <cell r="P802">
            <v>100</v>
          </cell>
          <cell r="Q802" t="str">
            <v>Trat. 10/08 - DIADEMA</v>
          </cell>
          <cell r="S802" t="str">
            <v>DF</v>
          </cell>
          <cell r="T802" t="str">
            <v>DF</v>
          </cell>
        </row>
        <row r="803">
          <cell r="A803">
            <v>202602178</v>
          </cell>
          <cell r="B803" t="str">
            <v>65.113.00533-3</v>
          </cell>
          <cell r="C803" t="str">
            <v>KIT CHASSI CEGO LOW PROFILE ROHS P/SLOT MOTHERB     REV-02</v>
          </cell>
          <cell r="D803" t="str">
            <v/>
          </cell>
          <cell r="E803" t="str">
            <v>KION IND E COM LT</v>
          </cell>
          <cell r="F803">
            <v>401</v>
          </cell>
          <cell r="G803">
            <v>44025</v>
          </cell>
          <cell r="H803">
            <v>668725</v>
          </cell>
          <cell r="I803" t="str">
            <v>K</v>
          </cell>
          <cell r="J803">
            <v>-21</v>
          </cell>
          <cell r="K803">
            <v>100</v>
          </cell>
          <cell r="L803">
            <v>100</v>
          </cell>
          <cell r="P803">
            <v>100</v>
          </cell>
          <cell r="Q803" t="str">
            <v>Trat. 10/08 - DIADEMA</v>
          </cell>
          <cell r="S803" t="str">
            <v>DF</v>
          </cell>
          <cell r="T803" t="str">
            <v>DF</v>
          </cell>
        </row>
        <row r="804">
          <cell r="A804">
            <v>201255357</v>
          </cell>
          <cell r="B804" t="str">
            <v>65.113.00561-6</v>
          </cell>
          <cell r="C804" t="str">
            <v>SUPORTE FIX TOUCH BB 2015 ROHS                      REV-00</v>
          </cell>
          <cell r="D804" t="str">
            <v/>
          </cell>
          <cell r="E804" t="str">
            <v>KION IND E COM LT</v>
          </cell>
          <cell r="F804">
            <v>401</v>
          </cell>
          <cell r="G804">
            <v>44011</v>
          </cell>
          <cell r="H804">
            <v>668725</v>
          </cell>
          <cell r="I804" t="str">
            <v>K</v>
          </cell>
          <cell r="J804">
            <v>-35</v>
          </cell>
          <cell r="K804">
            <v>100</v>
          </cell>
          <cell r="L804">
            <v>100</v>
          </cell>
          <cell r="P804">
            <v>100</v>
          </cell>
          <cell r="Q804" t="str">
            <v>ESTAMP 18/06 - FM</v>
          </cell>
          <cell r="S804">
            <v>44067</v>
          </cell>
          <cell r="T804">
            <v>7</v>
          </cell>
        </row>
        <row r="805">
          <cell r="A805">
            <v>201255358</v>
          </cell>
          <cell r="B805" t="str">
            <v>65.113.00561-6</v>
          </cell>
          <cell r="C805" t="str">
            <v>SUPORTE FIX TOUCH BB 2015 ROHS                      REV-00</v>
          </cell>
          <cell r="D805" t="str">
            <v/>
          </cell>
          <cell r="E805" t="str">
            <v>KION IND E COM LT</v>
          </cell>
          <cell r="F805">
            <v>401</v>
          </cell>
          <cell r="G805">
            <v>44025</v>
          </cell>
          <cell r="H805">
            <v>668725</v>
          </cell>
          <cell r="I805" t="str">
            <v>K</v>
          </cell>
          <cell r="J805">
            <v>-21</v>
          </cell>
          <cell r="K805">
            <v>100</v>
          </cell>
          <cell r="L805">
            <v>100</v>
          </cell>
          <cell r="P805">
            <v>100</v>
          </cell>
          <cell r="Q805" t="str">
            <v>ESTAMP. 30/07 - FM</v>
          </cell>
          <cell r="S805">
            <v>44067</v>
          </cell>
          <cell r="T805">
            <v>7</v>
          </cell>
        </row>
        <row r="806">
          <cell r="A806">
            <v>201255359</v>
          </cell>
          <cell r="B806" t="str">
            <v>65.113.00561-6</v>
          </cell>
          <cell r="C806" t="str">
            <v>SUPORTE FIX TOUCH BB 2015 ROHS                      REV-00</v>
          </cell>
          <cell r="D806" t="str">
            <v/>
          </cell>
          <cell r="E806" t="str">
            <v>KION IND E COM LT</v>
          </cell>
          <cell r="F806">
            <v>401</v>
          </cell>
          <cell r="G806">
            <v>44025</v>
          </cell>
          <cell r="H806">
            <v>668725</v>
          </cell>
          <cell r="I806" t="str">
            <v>K</v>
          </cell>
          <cell r="J806">
            <v>-21</v>
          </cell>
          <cell r="K806">
            <v>100</v>
          </cell>
          <cell r="L806">
            <v>100</v>
          </cell>
          <cell r="P806">
            <v>100</v>
          </cell>
          <cell r="Q806" t="str">
            <v>ESTAMP. 30/07 - FM</v>
          </cell>
          <cell r="S806">
            <v>44067</v>
          </cell>
          <cell r="T806">
            <v>7</v>
          </cell>
        </row>
        <row r="807">
          <cell r="A807">
            <v>201255360</v>
          </cell>
          <cell r="B807" t="str">
            <v>65.113.00561-6</v>
          </cell>
          <cell r="C807" t="str">
            <v>SUPORTE FIX TOUCH BB 2015 ROHS                      REV-00</v>
          </cell>
          <cell r="D807" t="str">
            <v/>
          </cell>
          <cell r="E807" t="str">
            <v>KION IND E COM LT</v>
          </cell>
          <cell r="F807">
            <v>401</v>
          </cell>
          <cell r="G807">
            <v>44025</v>
          </cell>
          <cell r="H807">
            <v>668725</v>
          </cell>
          <cell r="I807" t="str">
            <v>K</v>
          </cell>
          <cell r="J807">
            <v>-21</v>
          </cell>
          <cell r="K807">
            <v>100</v>
          </cell>
          <cell r="L807">
            <v>100</v>
          </cell>
          <cell r="P807">
            <v>100</v>
          </cell>
          <cell r="Q807" t="str">
            <v>ESTAMP. 30/07 - FM</v>
          </cell>
          <cell r="S807">
            <v>44074</v>
          </cell>
          <cell r="T807">
            <v>8</v>
          </cell>
        </row>
        <row r="808">
          <cell r="A808">
            <v>201255361</v>
          </cell>
          <cell r="B808" t="str">
            <v>65.113.00561-6</v>
          </cell>
          <cell r="C808" t="str">
            <v>SUPORTE FIX TOUCH BB 2015 ROHS                      REV-00</v>
          </cell>
          <cell r="D808" t="str">
            <v/>
          </cell>
          <cell r="E808" t="str">
            <v>KION IND E COM LT</v>
          </cell>
          <cell r="F808">
            <v>401</v>
          </cell>
          <cell r="G808">
            <v>44025</v>
          </cell>
          <cell r="H808">
            <v>668725</v>
          </cell>
          <cell r="I808" t="str">
            <v>K</v>
          </cell>
          <cell r="J808">
            <v>-21</v>
          </cell>
          <cell r="K808">
            <v>100</v>
          </cell>
          <cell r="L808">
            <v>100</v>
          </cell>
          <cell r="P808">
            <v>100</v>
          </cell>
          <cell r="Q808" t="str">
            <v>ESTAMP. 30/07 - FM</v>
          </cell>
          <cell r="S808">
            <v>44074</v>
          </cell>
          <cell r="T808">
            <v>8</v>
          </cell>
        </row>
        <row r="809">
          <cell r="A809">
            <v>201255362</v>
          </cell>
          <cell r="B809" t="str">
            <v>65.113.00561-6</v>
          </cell>
          <cell r="C809" t="str">
            <v>SUPORTE FIX TOUCH BB 2015 ROHS                      REV-00</v>
          </cell>
          <cell r="D809" t="str">
            <v/>
          </cell>
          <cell r="E809" t="str">
            <v>KION IND E COM LT</v>
          </cell>
          <cell r="F809">
            <v>401</v>
          </cell>
          <cell r="G809">
            <v>44025</v>
          </cell>
          <cell r="H809">
            <v>668725</v>
          </cell>
          <cell r="I809" t="str">
            <v>K</v>
          </cell>
          <cell r="J809">
            <v>-21</v>
          </cell>
          <cell r="K809">
            <v>100</v>
          </cell>
          <cell r="L809">
            <v>100</v>
          </cell>
          <cell r="P809">
            <v>100</v>
          </cell>
          <cell r="Q809" t="str">
            <v>ESTAMP. 30/07 - FM</v>
          </cell>
          <cell r="S809">
            <v>44074</v>
          </cell>
          <cell r="T809">
            <v>8</v>
          </cell>
        </row>
        <row r="810">
          <cell r="A810">
            <v>6297900153</v>
          </cell>
          <cell r="B810" t="str">
            <v>65.111.01915-4</v>
          </cell>
          <cell r="C810" t="str">
            <v xml:space="preserve">SUP MOVEL CABOS DEP DIEB BB ROHS                    REV-02  </v>
          </cell>
          <cell r="D810" t="str">
            <v/>
          </cell>
          <cell r="E810" t="str">
            <v>KION IND E COM LT</v>
          </cell>
          <cell r="F810">
            <v>401</v>
          </cell>
          <cell r="G810">
            <v>43997</v>
          </cell>
          <cell r="H810">
            <v>668725</v>
          </cell>
          <cell r="I810" t="str">
            <v>K</v>
          </cell>
          <cell r="J810">
            <v>0</v>
          </cell>
          <cell r="K810">
            <v>100</v>
          </cell>
          <cell r="L810">
            <v>100</v>
          </cell>
          <cell r="N810">
            <v>100</v>
          </cell>
          <cell r="P810">
            <v>0</v>
          </cell>
          <cell r="Q810" t="str">
            <v>Laser 08/07 - FM</v>
          </cell>
          <cell r="T810" t="str">
            <v>DF</v>
          </cell>
        </row>
        <row r="811">
          <cell r="A811">
            <v>201255363</v>
          </cell>
          <cell r="B811" t="str">
            <v>65.113.00561-6</v>
          </cell>
          <cell r="C811" t="str">
            <v>SUPORTE FIX TOUCH BB 2015 ROHS                      REV-00</v>
          </cell>
          <cell r="D811" t="str">
            <v/>
          </cell>
          <cell r="E811" t="str">
            <v>KION IND E COM LT</v>
          </cell>
          <cell r="F811">
            <v>401</v>
          </cell>
          <cell r="G811">
            <v>44025</v>
          </cell>
          <cell r="H811">
            <v>668725</v>
          </cell>
          <cell r="I811" t="str">
            <v>K</v>
          </cell>
          <cell r="J811">
            <v>-21</v>
          </cell>
          <cell r="K811">
            <v>100</v>
          </cell>
          <cell r="L811">
            <v>100</v>
          </cell>
          <cell r="P811">
            <v>100</v>
          </cell>
          <cell r="Q811" t="str">
            <v>ESTAMP. 30/07 - FM</v>
          </cell>
          <cell r="S811">
            <v>44074</v>
          </cell>
          <cell r="T811">
            <v>8</v>
          </cell>
        </row>
        <row r="812">
          <cell r="A812">
            <v>201255364</v>
          </cell>
          <cell r="B812" t="str">
            <v>65.113.00561-6</v>
          </cell>
          <cell r="C812" t="str">
            <v>SUPORTE FIX TOUCH BB 2015 ROHS                      REV-00</v>
          </cell>
          <cell r="D812" t="str">
            <v/>
          </cell>
          <cell r="E812" t="str">
            <v>KION IND E COM LT</v>
          </cell>
          <cell r="F812">
            <v>401</v>
          </cell>
          <cell r="G812">
            <v>44025</v>
          </cell>
          <cell r="H812">
            <v>668725</v>
          </cell>
          <cell r="I812" t="str">
            <v>K</v>
          </cell>
          <cell r="J812">
            <v>-21</v>
          </cell>
          <cell r="K812">
            <v>100</v>
          </cell>
          <cell r="L812">
            <v>100</v>
          </cell>
          <cell r="P812">
            <v>100</v>
          </cell>
          <cell r="Q812" t="str">
            <v>ESTAMP. 30/07 - FM</v>
          </cell>
          <cell r="S812">
            <v>44074</v>
          </cell>
          <cell r="T812">
            <v>8</v>
          </cell>
        </row>
        <row r="813">
          <cell r="A813">
            <v>201255365</v>
          </cell>
          <cell r="B813" t="str">
            <v>65.113.00561-6</v>
          </cell>
          <cell r="C813" t="str">
            <v>SUPORTE FIX TOUCH BB 2015 ROHS                      REV-00</v>
          </cell>
          <cell r="D813" t="str">
            <v/>
          </cell>
          <cell r="E813" t="str">
            <v>KION IND E COM LT</v>
          </cell>
          <cell r="F813">
            <v>401</v>
          </cell>
          <cell r="G813">
            <v>44025</v>
          </cell>
          <cell r="H813">
            <v>668725</v>
          </cell>
          <cell r="I813" t="str">
            <v>K</v>
          </cell>
          <cell r="J813">
            <v>-21</v>
          </cell>
          <cell r="K813">
            <v>100</v>
          </cell>
          <cell r="L813">
            <v>100</v>
          </cell>
          <cell r="P813">
            <v>100</v>
          </cell>
          <cell r="Q813" t="str">
            <v>ESTAMP. 30/07 - FM</v>
          </cell>
          <cell r="S813">
            <v>44081</v>
          </cell>
          <cell r="T813">
            <v>9</v>
          </cell>
        </row>
        <row r="814">
          <cell r="A814">
            <v>201255366</v>
          </cell>
          <cell r="B814" t="str">
            <v>65.113.00561-6</v>
          </cell>
          <cell r="C814" t="str">
            <v>SUPORTE FIX TOUCH BB 2015 ROHS                      REV-00</v>
          </cell>
          <cell r="D814" t="str">
            <v/>
          </cell>
          <cell r="E814" t="str">
            <v>KION IND E COM LT</v>
          </cell>
          <cell r="F814">
            <v>401</v>
          </cell>
          <cell r="G814">
            <v>44025</v>
          </cell>
          <cell r="H814">
            <v>668725</v>
          </cell>
          <cell r="I814" t="str">
            <v>K</v>
          </cell>
          <cell r="J814">
            <v>-21</v>
          </cell>
          <cell r="K814">
            <v>100</v>
          </cell>
          <cell r="L814">
            <v>100</v>
          </cell>
          <cell r="P814">
            <v>100</v>
          </cell>
          <cell r="Q814" t="str">
            <v>ESTAMP. 30/07 - FM</v>
          </cell>
          <cell r="S814">
            <v>44081</v>
          </cell>
          <cell r="T814">
            <v>9</v>
          </cell>
        </row>
        <row r="815">
          <cell r="A815">
            <v>70857000350</v>
          </cell>
          <cell r="B815" t="str">
            <v>65.111.02158-8</v>
          </cell>
          <cell r="C815" t="str">
            <v xml:space="preserve">SUPTE REED SWITCH                                   REV-04  </v>
          </cell>
          <cell r="D815" t="str">
            <v/>
          </cell>
          <cell r="E815" t="str">
            <v>KION IND E COM LT</v>
          </cell>
          <cell r="F815">
            <v>401</v>
          </cell>
          <cell r="G815">
            <v>43997</v>
          </cell>
          <cell r="H815">
            <v>668725</v>
          </cell>
          <cell r="I815" t="str">
            <v>K</v>
          </cell>
          <cell r="J815">
            <v>0</v>
          </cell>
          <cell r="K815">
            <v>100</v>
          </cell>
          <cell r="L815">
            <v>100</v>
          </cell>
          <cell r="N815">
            <v>100</v>
          </cell>
          <cell r="P815">
            <v>0</v>
          </cell>
          <cell r="Q815" t="str">
            <v>Trat. 23/07 - 210p - DIADEMA</v>
          </cell>
          <cell r="T815" t="str">
            <v>DF</v>
          </cell>
        </row>
        <row r="816">
          <cell r="A816">
            <v>70857000351</v>
          </cell>
          <cell r="B816" t="str">
            <v>65.111.02158-8</v>
          </cell>
          <cell r="C816" t="str">
            <v xml:space="preserve">SUPTE REED SWITCH                                   REV-04  </v>
          </cell>
          <cell r="D816" t="str">
            <v/>
          </cell>
          <cell r="E816" t="str">
            <v>KION IND E COM LT</v>
          </cell>
          <cell r="F816">
            <v>401</v>
          </cell>
          <cell r="G816">
            <v>43997</v>
          </cell>
          <cell r="H816">
            <v>668725</v>
          </cell>
          <cell r="I816" t="str">
            <v>K</v>
          </cell>
          <cell r="J816">
            <v>0</v>
          </cell>
          <cell r="K816">
            <v>100</v>
          </cell>
          <cell r="L816">
            <v>100</v>
          </cell>
          <cell r="N816">
            <v>100</v>
          </cell>
          <cell r="P816">
            <v>0</v>
          </cell>
          <cell r="Q816" t="str">
            <v>Trat. 23/07 - DIADEMA</v>
          </cell>
          <cell r="T816" t="str">
            <v>DF</v>
          </cell>
        </row>
        <row r="817">
          <cell r="A817">
            <v>201255367</v>
          </cell>
          <cell r="B817" t="str">
            <v>65.113.00561-6</v>
          </cell>
          <cell r="C817" t="str">
            <v>SUPORTE FIX TOUCH BB 2015 ROHS                      REV-00</v>
          </cell>
          <cell r="D817" t="str">
            <v/>
          </cell>
          <cell r="E817" t="str">
            <v>KION IND E COM LT</v>
          </cell>
          <cell r="F817">
            <v>401</v>
          </cell>
          <cell r="G817">
            <v>44025</v>
          </cell>
          <cell r="H817">
            <v>668725</v>
          </cell>
          <cell r="I817" t="str">
            <v>K</v>
          </cell>
          <cell r="J817">
            <v>-21</v>
          </cell>
          <cell r="K817">
            <v>100</v>
          </cell>
          <cell r="L817">
            <v>100</v>
          </cell>
          <cell r="P817">
            <v>100</v>
          </cell>
          <cell r="Q817" t="str">
            <v>ESTAMP. 30/07 - FM</v>
          </cell>
          <cell r="S817">
            <v>44081</v>
          </cell>
          <cell r="T817">
            <v>9</v>
          </cell>
        </row>
        <row r="818">
          <cell r="A818">
            <v>201255368</v>
          </cell>
          <cell r="B818" t="str">
            <v>65.113.00561-6</v>
          </cell>
          <cell r="C818" t="str">
            <v>SUPORTE FIX TOUCH BB 2015 ROHS                      REV-00</v>
          </cell>
          <cell r="D818" t="str">
            <v/>
          </cell>
          <cell r="E818" t="str">
            <v>KION IND E COM LT</v>
          </cell>
          <cell r="F818">
            <v>401</v>
          </cell>
          <cell r="G818">
            <v>44025</v>
          </cell>
          <cell r="H818">
            <v>668725</v>
          </cell>
          <cell r="I818" t="str">
            <v>K</v>
          </cell>
          <cell r="J818">
            <v>-21</v>
          </cell>
          <cell r="K818">
            <v>100</v>
          </cell>
          <cell r="L818">
            <v>100</v>
          </cell>
          <cell r="P818">
            <v>100</v>
          </cell>
          <cell r="Q818" t="str">
            <v>ESTAMP. 30/07 - FM</v>
          </cell>
          <cell r="S818">
            <v>44081</v>
          </cell>
          <cell r="T818">
            <v>9</v>
          </cell>
        </row>
        <row r="819">
          <cell r="A819">
            <v>201255369</v>
          </cell>
          <cell r="B819" t="str">
            <v>65.113.00561-6</v>
          </cell>
          <cell r="C819" t="str">
            <v>SUPORTE FIX TOUCH BB 2015 ROHS                      REV-00</v>
          </cell>
          <cell r="D819" t="str">
            <v/>
          </cell>
          <cell r="E819" t="str">
            <v>KION IND E COM LT</v>
          </cell>
          <cell r="F819">
            <v>401</v>
          </cell>
          <cell r="G819">
            <v>44025</v>
          </cell>
          <cell r="H819">
            <v>668725</v>
          </cell>
          <cell r="I819" t="str">
            <v>K</v>
          </cell>
          <cell r="J819">
            <v>-21</v>
          </cell>
          <cell r="K819">
            <v>100</v>
          </cell>
          <cell r="L819">
            <v>100</v>
          </cell>
          <cell r="P819">
            <v>100</v>
          </cell>
          <cell r="Q819" t="str">
            <v>ESTAMP. 30/07 - FM</v>
          </cell>
          <cell r="S819">
            <v>44081</v>
          </cell>
          <cell r="T819">
            <v>9</v>
          </cell>
        </row>
        <row r="820">
          <cell r="A820">
            <v>201255370</v>
          </cell>
          <cell r="B820" t="str">
            <v>65.113.00561-6</v>
          </cell>
          <cell r="C820" t="str">
            <v>SUPORTE FIX TOUCH BB 2015 ROHS                      REV-00</v>
          </cell>
          <cell r="D820" t="str">
            <v/>
          </cell>
          <cell r="E820" t="str">
            <v>KION IND E COM LT</v>
          </cell>
          <cell r="F820">
            <v>401</v>
          </cell>
          <cell r="G820">
            <v>44025</v>
          </cell>
          <cell r="H820">
            <v>668725</v>
          </cell>
          <cell r="I820" t="str">
            <v>K</v>
          </cell>
          <cell r="J820">
            <v>-21</v>
          </cell>
          <cell r="K820">
            <v>100</v>
          </cell>
          <cell r="L820">
            <v>100</v>
          </cell>
          <cell r="P820">
            <v>100</v>
          </cell>
          <cell r="Q820" t="str">
            <v>ESTAMP. 30/07 - FM</v>
          </cell>
          <cell r="S820">
            <v>44081</v>
          </cell>
          <cell r="T820">
            <v>9</v>
          </cell>
        </row>
        <row r="821">
          <cell r="A821">
            <v>201255371</v>
          </cell>
          <cell r="B821" t="str">
            <v>65.113.00561-6</v>
          </cell>
          <cell r="C821" t="str">
            <v>SUPORTE FIX TOUCH BB 2015 ROHS                      REV-00</v>
          </cell>
          <cell r="D821" t="str">
            <v/>
          </cell>
          <cell r="E821" t="str">
            <v>KION IND E COM LT</v>
          </cell>
          <cell r="F821">
            <v>401</v>
          </cell>
          <cell r="G821">
            <v>44025</v>
          </cell>
          <cell r="H821">
            <v>668725</v>
          </cell>
          <cell r="I821" t="str">
            <v>K</v>
          </cell>
          <cell r="J821">
            <v>-21</v>
          </cell>
          <cell r="K821">
            <v>100</v>
          </cell>
          <cell r="L821">
            <v>100</v>
          </cell>
          <cell r="P821">
            <v>100</v>
          </cell>
          <cell r="Q821" t="str">
            <v>ESTAMP. 30/07 - FM</v>
          </cell>
          <cell r="S821">
            <v>44081</v>
          </cell>
          <cell r="T821">
            <v>9</v>
          </cell>
        </row>
        <row r="822">
          <cell r="A822">
            <v>201255372</v>
          </cell>
          <cell r="B822" t="str">
            <v>65.113.00561-6</v>
          </cell>
          <cell r="C822" t="str">
            <v>SUPORTE FIX TOUCH BB 2015 ROHS                      REV-00</v>
          </cell>
          <cell r="D822" t="str">
            <v/>
          </cell>
          <cell r="E822" t="str">
            <v>KION IND E COM LT</v>
          </cell>
          <cell r="F822">
            <v>401</v>
          </cell>
          <cell r="G822">
            <v>44025</v>
          </cell>
          <cell r="H822">
            <v>668725</v>
          </cell>
          <cell r="I822" t="str">
            <v>K</v>
          </cell>
          <cell r="J822">
            <v>-21</v>
          </cell>
          <cell r="K822">
            <v>100</v>
          </cell>
          <cell r="L822">
            <v>100</v>
          </cell>
          <cell r="P822">
            <v>100</v>
          </cell>
          <cell r="Q822" t="str">
            <v>ESTAMP. 30/07 - FM</v>
          </cell>
          <cell r="S822">
            <v>44081</v>
          </cell>
          <cell r="T822">
            <v>9</v>
          </cell>
        </row>
        <row r="823">
          <cell r="A823">
            <v>201255373</v>
          </cell>
          <cell r="B823" t="str">
            <v>65.113.00561-6</v>
          </cell>
          <cell r="C823" t="str">
            <v>SUPORTE FIX TOUCH BB 2015 ROHS                      REV-00</v>
          </cell>
          <cell r="D823" t="str">
            <v/>
          </cell>
          <cell r="E823" t="str">
            <v>KION IND E COM LT</v>
          </cell>
          <cell r="F823">
            <v>401</v>
          </cell>
          <cell r="G823">
            <v>44025</v>
          </cell>
          <cell r="H823">
            <v>668725</v>
          </cell>
          <cell r="I823" t="str">
            <v>K</v>
          </cell>
          <cell r="J823">
            <v>-21</v>
          </cell>
          <cell r="K823">
            <v>100</v>
          </cell>
          <cell r="L823">
            <v>100</v>
          </cell>
          <cell r="P823">
            <v>100</v>
          </cell>
          <cell r="Q823" t="str">
            <v>ESTAMP. 30/07 - FM</v>
          </cell>
          <cell r="S823">
            <v>44088</v>
          </cell>
          <cell r="T823">
            <v>10</v>
          </cell>
        </row>
        <row r="824">
          <cell r="A824">
            <v>201255374</v>
          </cell>
          <cell r="B824" t="str">
            <v>65.113.00561-6</v>
          </cell>
          <cell r="C824" t="str">
            <v>SUPORTE FIX TOUCH BB 2015 ROHS                      REV-00</v>
          </cell>
          <cell r="D824" t="str">
            <v/>
          </cell>
          <cell r="E824" t="str">
            <v>KION IND E COM LT</v>
          </cell>
          <cell r="F824">
            <v>401</v>
          </cell>
          <cell r="G824">
            <v>44025</v>
          </cell>
          <cell r="H824">
            <v>668725</v>
          </cell>
          <cell r="I824" t="str">
            <v>K</v>
          </cell>
          <cell r="J824">
            <v>-21</v>
          </cell>
          <cell r="K824">
            <v>100</v>
          </cell>
          <cell r="L824">
            <v>100</v>
          </cell>
          <cell r="P824">
            <v>100</v>
          </cell>
          <cell r="Q824" t="str">
            <v>ESTAMP. 30/07 - FM</v>
          </cell>
          <cell r="S824">
            <v>44088</v>
          </cell>
          <cell r="T824">
            <v>10</v>
          </cell>
        </row>
        <row r="825">
          <cell r="A825">
            <v>202607314</v>
          </cell>
          <cell r="B825" t="str">
            <v>65.113.00567-8</v>
          </cell>
          <cell r="C825" t="str">
            <v xml:space="preserve">SUPT FIX TRAS LCD 15"/TOUCH ROHS                    REV-03  </v>
          </cell>
          <cell r="D825" t="str">
            <v>29-008851-000A</v>
          </cell>
          <cell r="E825" t="str">
            <v>KION IND E COM LT</v>
          </cell>
          <cell r="F825">
            <v>401</v>
          </cell>
          <cell r="G825">
            <v>43997</v>
          </cell>
          <cell r="H825">
            <v>668725</v>
          </cell>
          <cell r="I825" t="str">
            <v>K</v>
          </cell>
          <cell r="J825">
            <v>-49</v>
          </cell>
          <cell r="K825">
            <v>100</v>
          </cell>
          <cell r="L825">
            <v>100</v>
          </cell>
          <cell r="P825">
            <v>100</v>
          </cell>
          <cell r="Q825" t="str">
            <v>ESTAMP. 30/07 - FM</v>
          </cell>
          <cell r="S825">
            <v>44074</v>
          </cell>
          <cell r="T825">
            <v>8</v>
          </cell>
        </row>
        <row r="826">
          <cell r="A826">
            <v>70857200431</v>
          </cell>
          <cell r="B826" t="str">
            <v>65.111.03150-3</v>
          </cell>
          <cell r="C826" t="str">
            <v>SUP SENS IMA DEP/M MD ATM TR UBB  ROHS REV-00       REV-01</v>
          </cell>
          <cell r="D826" t="str">
            <v/>
          </cell>
          <cell r="E826" t="str">
            <v>KION IND E COM LT</v>
          </cell>
          <cell r="F826">
            <v>401</v>
          </cell>
          <cell r="G826">
            <v>43997</v>
          </cell>
          <cell r="H826">
            <v>668725</v>
          </cell>
          <cell r="I826" t="str">
            <v>K</v>
          </cell>
          <cell r="J826">
            <v>0</v>
          </cell>
          <cell r="K826">
            <v>100</v>
          </cell>
          <cell r="L826">
            <v>100</v>
          </cell>
          <cell r="O826">
            <v>100</v>
          </cell>
          <cell r="P826">
            <v>0</v>
          </cell>
          <cell r="Q826" t="str">
            <v>Laser 08/07 - FM</v>
          </cell>
          <cell r="T826" t="str">
            <v>DF</v>
          </cell>
        </row>
        <row r="827">
          <cell r="A827">
            <v>202607315</v>
          </cell>
          <cell r="B827" t="str">
            <v>65.113.00567-8</v>
          </cell>
          <cell r="C827" t="str">
            <v xml:space="preserve">SUPT FIX TRAS LCD 15"/TOUCH ROHS                    REV-03  </v>
          </cell>
          <cell r="D827" t="str">
            <v>29-008851-000A</v>
          </cell>
          <cell r="E827" t="str">
            <v>KION IND E COM LT</v>
          </cell>
          <cell r="F827">
            <v>401</v>
          </cell>
          <cell r="G827">
            <v>44025</v>
          </cell>
          <cell r="H827">
            <v>668725</v>
          </cell>
          <cell r="I827" t="str">
            <v>K</v>
          </cell>
          <cell r="J827">
            <v>-21</v>
          </cell>
          <cell r="K827">
            <v>100</v>
          </cell>
          <cell r="L827">
            <v>100</v>
          </cell>
          <cell r="P827">
            <v>100</v>
          </cell>
          <cell r="Q827" t="str">
            <v>ESTAMP. 30/07 - FM</v>
          </cell>
          <cell r="S827">
            <v>44074</v>
          </cell>
          <cell r="T827">
            <v>8</v>
          </cell>
        </row>
        <row r="828">
          <cell r="A828">
            <v>202607316</v>
          </cell>
          <cell r="B828" t="str">
            <v>65.113.00567-8</v>
          </cell>
          <cell r="C828" t="str">
            <v xml:space="preserve">SUPT FIX TRAS LCD 15"/TOUCH ROHS                    REV-03  </v>
          </cell>
          <cell r="D828" t="str">
            <v>29-008851-000A</v>
          </cell>
          <cell r="E828" t="str">
            <v>KION IND E COM LT</v>
          </cell>
          <cell r="F828">
            <v>401</v>
          </cell>
          <cell r="G828">
            <v>44025</v>
          </cell>
          <cell r="H828">
            <v>668725</v>
          </cell>
          <cell r="I828" t="str">
            <v>K</v>
          </cell>
          <cell r="J828">
            <v>-21</v>
          </cell>
          <cell r="K828">
            <v>100</v>
          </cell>
          <cell r="L828">
            <v>100</v>
          </cell>
          <cell r="P828">
            <v>100</v>
          </cell>
          <cell r="Q828" t="str">
            <v>ESTAMP. 30/07 - FM</v>
          </cell>
          <cell r="S828">
            <v>44074</v>
          </cell>
          <cell r="T828">
            <v>8</v>
          </cell>
        </row>
        <row r="829">
          <cell r="A829">
            <v>202607317</v>
          </cell>
          <cell r="B829" t="str">
            <v>65.113.00567-8</v>
          </cell>
          <cell r="C829" t="str">
            <v xml:space="preserve">SUPT FIX TRAS LCD 15"/TOUCH ROHS                    REV-03  </v>
          </cell>
          <cell r="D829" t="str">
            <v>29-008851-000A</v>
          </cell>
          <cell r="E829" t="str">
            <v>KION IND E COM LT</v>
          </cell>
          <cell r="F829">
            <v>401</v>
          </cell>
          <cell r="G829">
            <v>44025</v>
          </cell>
          <cell r="H829">
            <v>668725</v>
          </cell>
          <cell r="I829" t="str">
            <v>K</v>
          </cell>
          <cell r="J829">
            <v>-21</v>
          </cell>
          <cell r="K829">
            <v>100</v>
          </cell>
          <cell r="L829">
            <v>100</v>
          </cell>
          <cell r="P829">
            <v>100</v>
          </cell>
          <cell r="Q829" t="str">
            <v>ESTAMP. 30/07 - FM</v>
          </cell>
          <cell r="S829">
            <v>44081</v>
          </cell>
          <cell r="T829">
            <v>9</v>
          </cell>
        </row>
        <row r="830">
          <cell r="A830">
            <v>202607318</v>
          </cell>
          <cell r="B830" t="str">
            <v>65.113.00567-8</v>
          </cell>
          <cell r="C830" t="str">
            <v xml:space="preserve">SUPT FIX TRAS LCD 15"/TOUCH ROHS                    REV-03  </v>
          </cell>
          <cell r="D830" t="str">
            <v>29-008851-000A</v>
          </cell>
          <cell r="E830" t="str">
            <v>KION IND E COM LT</v>
          </cell>
          <cell r="F830">
            <v>401</v>
          </cell>
          <cell r="G830">
            <v>44025</v>
          </cell>
          <cell r="H830">
            <v>668725</v>
          </cell>
          <cell r="I830" t="str">
            <v>K</v>
          </cell>
          <cell r="J830">
            <v>-21</v>
          </cell>
          <cell r="K830">
            <v>100</v>
          </cell>
          <cell r="L830">
            <v>100</v>
          </cell>
          <cell r="P830">
            <v>100</v>
          </cell>
          <cell r="Q830" t="str">
            <v>ESTAMP. 30/07 - FM</v>
          </cell>
          <cell r="S830">
            <v>44081</v>
          </cell>
          <cell r="T830">
            <v>9</v>
          </cell>
        </row>
        <row r="831">
          <cell r="A831">
            <v>202607319</v>
          </cell>
          <cell r="B831" t="str">
            <v>65.113.00567-8</v>
          </cell>
          <cell r="C831" t="str">
            <v xml:space="preserve">SUPT FIX TRAS LCD 15"/TOUCH ROHS                    REV-03  </v>
          </cell>
          <cell r="D831" t="str">
            <v>29-008851-000A</v>
          </cell>
          <cell r="E831" t="str">
            <v>KION IND E COM LT</v>
          </cell>
          <cell r="F831">
            <v>401</v>
          </cell>
          <cell r="G831">
            <v>44025</v>
          </cell>
          <cell r="H831">
            <v>668725</v>
          </cell>
          <cell r="I831" t="str">
            <v>K</v>
          </cell>
          <cell r="J831">
            <v>-21</v>
          </cell>
          <cell r="K831">
            <v>100</v>
          </cell>
          <cell r="L831">
            <v>100</v>
          </cell>
          <cell r="P831">
            <v>100</v>
          </cell>
          <cell r="Q831" t="str">
            <v>ESTAMP. 30/07 - FM</v>
          </cell>
          <cell r="S831">
            <v>44081</v>
          </cell>
          <cell r="T831">
            <v>9</v>
          </cell>
        </row>
        <row r="832">
          <cell r="A832">
            <v>202607320</v>
          </cell>
          <cell r="B832" t="str">
            <v>65.113.00567-8</v>
          </cell>
          <cell r="C832" t="str">
            <v xml:space="preserve">SUPT FIX TRAS LCD 15"/TOUCH ROHS                    REV-03  </v>
          </cell>
          <cell r="D832" t="str">
            <v>29-008851-000A</v>
          </cell>
          <cell r="E832" t="str">
            <v>KION IND E COM LT</v>
          </cell>
          <cell r="F832">
            <v>401</v>
          </cell>
          <cell r="G832">
            <v>44025</v>
          </cell>
          <cell r="H832">
            <v>668725</v>
          </cell>
          <cell r="I832" t="str">
            <v>K</v>
          </cell>
          <cell r="J832">
            <v>-21</v>
          </cell>
          <cell r="K832">
            <v>100</v>
          </cell>
          <cell r="L832">
            <v>100</v>
          </cell>
          <cell r="P832">
            <v>100</v>
          </cell>
          <cell r="Q832" t="str">
            <v>ESTAMP. 30/07 - FM</v>
          </cell>
          <cell r="S832">
            <v>44081</v>
          </cell>
          <cell r="T832">
            <v>9</v>
          </cell>
        </row>
        <row r="833">
          <cell r="A833">
            <v>202607321</v>
          </cell>
          <cell r="B833" t="str">
            <v>65.113.00567-8</v>
          </cell>
          <cell r="C833" t="str">
            <v xml:space="preserve">SUPT FIX TRAS LCD 15"/TOUCH ROHS                    REV-03  </v>
          </cell>
          <cell r="D833" t="str">
            <v>29-008851-000A</v>
          </cell>
          <cell r="E833" t="str">
            <v>KION IND E COM LT</v>
          </cell>
          <cell r="F833">
            <v>401</v>
          </cell>
          <cell r="G833">
            <v>44025</v>
          </cell>
          <cell r="H833">
            <v>668725</v>
          </cell>
          <cell r="I833" t="str">
            <v>K</v>
          </cell>
          <cell r="J833">
            <v>-21</v>
          </cell>
          <cell r="K833">
            <v>100</v>
          </cell>
          <cell r="L833">
            <v>100</v>
          </cell>
          <cell r="P833">
            <v>100</v>
          </cell>
          <cell r="Q833" t="str">
            <v>ESTAMP. 30/07 - FM</v>
          </cell>
          <cell r="S833">
            <v>44088</v>
          </cell>
          <cell r="T833">
            <v>10</v>
          </cell>
        </row>
        <row r="834">
          <cell r="A834">
            <v>202607322</v>
          </cell>
          <cell r="B834" t="str">
            <v>65.113.00567-8</v>
          </cell>
          <cell r="C834" t="str">
            <v xml:space="preserve">SUPT FIX TRAS LCD 15"/TOUCH ROHS                    REV-03  </v>
          </cell>
          <cell r="D834" t="str">
            <v>29-008851-000A</v>
          </cell>
          <cell r="E834" t="str">
            <v>KION IND E COM LT</v>
          </cell>
          <cell r="F834">
            <v>401</v>
          </cell>
          <cell r="G834">
            <v>44025</v>
          </cell>
          <cell r="H834">
            <v>668725</v>
          </cell>
          <cell r="I834" t="str">
            <v>K</v>
          </cell>
          <cell r="J834">
            <v>-21</v>
          </cell>
          <cell r="K834">
            <v>100</v>
          </cell>
          <cell r="L834">
            <v>100</v>
          </cell>
          <cell r="P834">
            <v>100</v>
          </cell>
          <cell r="Q834" t="str">
            <v>ESTAMP. 30/07 - FM</v>
          </cell>
          <cell r="S834">
            <v>44088</v>
          </cell>
          <cell r="T834">
            <v>10</v>
          </cell>
        </row>
        <row r="835">
          <cell r="A835">
            <v>159150004</v>
          </cell>
          <cell r="B835" t="str">
            <v>65.113.00584-5</v>
          </cell>
          <cell r="C835" t="str">
            <v xml:space="preserve">GUIA MET ENVELOPE DEP PENTASIS ROHS                 REV-00  </v>
          </cell>
          <cell r="D835" t="str">
            <v/>
          </cell>
          <cell r="E835" t="str">
            <v>KION IND E COM LT</v>
          </cell>
          <cell r="F835">
            <v>401</v>
          </cell>
          <cell r="G835">
            <v>42786</v>
          </cell>
          <cell r="H835">
            <v>358999</v>
          </cell>
          <cell r="J835">
            <v>-1260</v>
          </cell>
          <cell r="K835">
            <v>300</v>
          </cell>
          <cell r="L835">
            <v>3</v>
          </cell>
          <cell r="P835">
            <v>3</v>
          </cell>
          <cell r="Q835">
            <v>0</v>
          </cell>
          <cell r="T835" t="str">
            <v>S Con</v>
          </cell>
        </row>
        <row r="836">
          <cell r="A836">
            <v>982075151</v>
          </cell>
          <cell r="B836" t="str">
            <v>65.113.00597-5</v>
          </cell>
          <cell r="C836" t="str">
            <v xml:space="preserve">SUPORTE DIR FIX DVD CEF 2018 ROHS                   REV-01  </v>
          </cell>
          <cell r="D836" t="str">
            <v/>
          </cell>
          <cell r="E836" t="str">
            <v>KION IND E COM LT</v>
          </cell>
          <cell r="F836">
            <v>401</v>
          </cell>
          <cell r="G836">
            <v>44067</v>
          </cell>
          <cell r="H836">
            <v>377860</v>
          </cell>
          <cell r="J836">
            <v>21</v>
          </cell>
          <cell r="K836">
            <v>300</v>
          </cell>
          <cell r="L836">
            <v>300</v>
          </cell>
          <cell r="P836">
            <v>300</v>
          </cell>
          <cell r="Q836" t="str">
            <v>OP 22/07 - JH</v>
          </cell>
          <cell r="S836">
            <v>44074</v>
          </cell>
          <cell r="T836">
            <v>8</v>
          </cell>
        </row>
        <row r="837">
          <cell r="A837">
            <v>982075152</v>
          </cell>
          <cell r="B837" t="str">
            <v>65.113.00597-5</v>
          </cell>
          <cell r="C837" t="str">
            <v xml:space="preserve">SUPORTE DIR FIX DVD CEF 2018 ROHS                   REV-01  </v>
          </cell>
          <cell r="D837" t="str">
            <v/>
          </cell>
          <cell r="E837" t="str">
            <v>KION IND E COM LT</v>
          </cell>
          <cell r="F837">
            <v>401</v>
          </cell>
          <cell r="G837">
            <v>44095</v>
          </cell>
          <cell r="H837">
            <v>377860</v>
          </cell>
          <cell r="J837">
            <v>49</v>
          </cell>
          <cell r="K837">
            <v>200</v>
          </cell>
          <cell r="L837">
            <v>200</v>
          </cell>
          <cell r="P837">
            <v>200</v>
          </cell>
          <cell r="Q837" t="str">
            <v>OP 22/07 - JH</v>
          </cell>
          <cell r="S837">
            <v>44088</v>
          </cell>
          <cell r="T837">
            <v>10</v>
          </cell>
        </row>
        <row r="838">
          <cell r="A838">
            <v>70859300375</v>
          </cell>
          <cell r="B838" t="str">
            <v>65.111.03765-5</v>
          </cell>
          <cell r="C838" t="str">
            <v>CANALETA PROT 50MM                                  REV-01</v>
          </cell>
          <cell r="D838" t="str">
            <v/>
          </cell>
          <cell r="E838" t="str">
            <v>KION IND E COM LT</v>
          </cell>
          <cell r="F838">
            <v>401</v>
          </cell>
          <cell r="G838">
            <v>43969</v>
          </cell>
          <cell r="H838">
            <v>668725</v>
          </cell>
          <cell r="I838" t="str">
            <v>K</v>
          </cell>
          <cell r="J838">
            <v>0</v>
          </cell>
          <cell r="K838">
            <v>100</v>
          </cell>
          <cell r="L838">
            <v>100</v>
          </cell>
          <cell r="N838">
            <v>100</v>
          </cell>
          <cell r="P838">
            <v>0</v>
          </cell>
          <cell r="Q838" t="str">
            <v>Trat. 01/07 - 525p - DIADEMA</v>
          </cell>
          <cell r="T838" t="str">
            <v>DF</v>
          </cell>
        </row>
        <row r="839">
          <cell r="A839">
            <v>70859300376</v>
          </cell>
          <cell r="B839" t="str">
            <v>65.111.03765-5</v>
          </cell>
          <cell r="C839" t="str">
            <v>CANALETA PROT 50MM                                  REV-01</v>
          </cell>
          <cell r="D839" t="str">
            <v/>
          </cell>
          <cell r="E839" t="str">
            <v>KION IND E COM LT</v>
          </cell>
          <cell r="F839">
            <v>401</v>
          </cell>
          <cell r="G839">
            <v>43997</v>
          </cell>
          <cell r="H839">
            <v>668725</v>
          </cell>
          <cell r="I839" t="str">
            <v>K</v>
          </cell>
          <cell r="J839">
            <v>0</v>
          </cell>
          <cell r="K839">
            <v>100</v>
          </cell>
          <cell r="L839">
            <v>100</v>
          </cell>
          <cell r="N839">
            <v>100</v>
          </cell>
          <cell r="P839">
            <v>0</v>
          </cell>
          <cell r="Q839" t="str">
            <v>Trat. 01/07 - DIADEMA</v>
          </cell>
          <cell r="T839" t="str">
            <v>DF</v>
          </cell>
        </row>
        <row r="840">
          <cell r="A840">
            <v>70859300377</v>
          </cell>
          <cell r="B840" t="str">
            <v>65.111.03765-5</v>
          </cell>
          <cell r="C840" t="str">
            <v>CANALETA PROT 50MM                                  REV-01</v>
          </cell>
          <cell r="D840" t="str">
            <v/>
          </cell>
          <cell r="E840" t="str">
            <v>KION IND E COM LT</v>
          </cell>
          <cell r="F840">
            <v>401</v>
          </cell>
          <cell r="G840">
            <v>43997</v>
          </cell>
          <cell r="H840">
            <v>668725</v>
          </cell>
          <cell r="I840" t="str">
            <v>K</v>
          </cell>
          <cell r="J840">
            <v>0</v>
          </cell>
          <cell r="K840">
            <v>100</v>
          </cell>
          <cell r="L840">
            <v>100</v>
          </cell>
          <cell r="N840">
            <v>100</v>
          </cell>
          <cell r="P840">
            <v>0</v>
          </cell>
          <cell r="Q840" t="str">
            <v>Trat. 01/07 - DIADEMA</v>
          </cell>
          <cell r="T840" t="str">
            <v>DF</v>
          </cell>
        </row>
        <row r="841">
          <cell r="A841">
            <v>982075153</v>
          </cell>
          <cell r="B841" t="str">
            <v>65.113.00597-5</v>
          </cell>
          <cell r="C841" t="str">
            <v xml:space="preserve">SUPORTE DIR FIX DVD CEF 2018 ROHS                   REV-01  </v>
          </cell>
          <cell r="D841" t="str">
            <v/>
          </cell>
          <cell r="E841" t="str">
            <v>KION IND E COM LT</v>
          </cell>
          <cell r="F841">
            <v>401</v>
          </cell>
          <cell r="G841">
            <v>44123</v>
          </cell>
          <cell r="H841">
            <v>377860</v>
          </cell>
          <cell r="J841">
            <v>77</v>
          </cell>
          <cell r="K841">
            <v>160</v>
          </cell>
          <cell r="L841">
            <v>160</v>
          </cell>
          <cell r="P841">
            <v>160</v>
          </cell>
          <cell r="Q841" t="str">
            <v/>
          </cell>
          <cell r="S841">
            <v>44109</v>
          </cell>
          <cell r="T841">
            <v>13</v>
          </cell>
        </row>
        <row r="842">
          <cell r="A842">
            <v>982089581</v>
          </cell>
          <cell r="B842" t="str">
            <v>65.113.00597-5</v>
          </cell>
          <cell r="C842" t="str">
            <v xml:space="preserve">SUPORTE DIR FIX DVD CEF 2018 ROHS                   REV-01  </v>
          </cell>
          <cell r="D842" t="str">
            <v/>
          </cell>
          <cell r="E842" t="str">
            <v>KION IND E COM LT</v>
          </cell>
          <cell r="F842">
            <v>401</v>
          </cell>
          <cell r="G842">
            <v>44123</v>
          </cell>
          <cell r="H842">
            <v>377860</v>
          </cell>
          <cell r="J842">
            <v>77</v>
          </cell>
          <cell r="K842">
            <v>100</v>
          </cell>
          <cell r="L842">
            <v>100</v>
          </cell>
          <cell r="P842">
            <v>100</v>
          </cell>
          <cell r="Q842" t="str">
            <v/>
          </cell>
          <cell r="S842" t="str">
            <v>DF</v>
          </cell>
          <cell r="T842" t="str">
            <v>DF</v>
          </cell>
        </row>
        <row r="843">
          <cell r="A843">
            <v>982074971</v>
          </cell>
          <cell r="B843" t="str">
            <v>65.113.00602-2</v>
          </cell>
          <cell r="C843" t="str">
            <v xml:space="preserve">SUPT FIX TRAS LCD 15"/ TOUCH PAINEL ROHS            REV-00  </v>
          </cell>
          <cell r="D843" t="str">
            <v>29-008851-000A E 29-009101-000A E 29-008850-000B</v>
          </cell>
          <cell r="E843" t="str">
            <v>KION IND E COM LT</v>
          </cell>
          <cell r="F843">
            <v>401</v>
          </cell>
          <cell r="G843">
            <v>44081</v>
          </cell>
          <cell r="H843">
            <v>377860</v>
          </cell>
          <cell r="J843">
            <v>35</v>
          </cell>
          <cell r="K843">
            <v>600</v>
          </cell>
          <cell r="L843">
            <v>600</v>
          </cell>
          <cell r="P843">
            <v>600</v>
          </cell>
          <cell r="Q843" t="str">
            <v xml:space="preserve">OP 29/07 - FM </v>
          </cell>
          <cell r="S843">
            <v>44074</v>
          </cell>
          <cell r="T843">
            <v>8</v>
          </cell>
        </row>
        <row r="844">
          <cell r="A844">
            <v>982074972</v>
          </cell>
          <cell r="B844" t="str">
            <v>65.113.00602-2</v>
          </cell>
          <cell r="C844" t="str">
            <v xml:space="preserve">SUPT FIX TRAS LCD 15"/ TOUCH PAINEL ROHS            REV-00  </v>
          </cell>
          <cell r="D844" t="str">
            <v>29-008851-000A E 29-009101-000A E 29-008850-000B</v>
          </cell>
          <cell r="E844" t="str">
            <v>KION IND E COM LT</v>
          </cell>
          <cell r="F844">
            <v>401</v>
          </cell>
          <cell r="G844">
            <v>44102</v>
          </cell>
          <cell r="H844">
            <v>377860</v>
          </cell>
          <cell r="J844">
            <v>56</v>
          </cell>
          <cell r="K844">
            <v>400</v>
          </cell>
          <cell r="L844">
            <v>400</v>
          </cell>
          <cell r="P844">
            <v>400</v>
          </cell>
          <cell r="Q844" t="str">
            <v/>
          </cell>
          <cell r="S844">
            <v>44095</v>
          </cell>
          <cell r="T844">
            <v>11</v>
          </cell>
        </row>
        <row r="845">
          <cell r="A845">
            <v>982074973</v>
          </cell>
          <cell r="B845" t="str">
            <v>65.113.00602-2</v>
          </cell>
          <cell r="C845" t="str">
            <v xml:space="preserve">SUPT FIX TRAS LCD 15"/ TOUCH PAINEL ROHS            REV-00  </v>
          </cell>
          <cell r="D845" t="str">
            <v>29-008851-000A E 29-009101-000A E 29-008850-000B</v>
          </cell>
          <cell r="E845" t="str">
            <v>KION IND E COM LT</v>
          </cell>
          <cell r="F845">
            <v>401</v>
          </cell>
          <cell r="G845">
            <v>44130</v>
          </cell>
          <cell r="H845">
            <v>377860</v>
          </cell>
          <cell r="J845">
            <v>84</v>
          </cell>
          <cell r="K845">
            <v>360</v>
          </cell>
          <cell r="L845">
            <v>360</v>
          </cell>
          <cell r="P845">
            <v>360</v>
          </cell>
          <cell r="Q845" t="str">
            <v/>
          </cell>
          <cell r="S845" t="str">
            <v>DF</v>
          </cell>
          <cell r="T845" t="str">
            <v>DF</v>
          </cell>
        </row>
        <row r="846">
          <cell r="A846">
            <v>982074981</v>
          </cell>
          <cell r="B846" t="str">
            <v>65.113.00603-9</v>
          </cell>
          <cell r="C846" t="str">
            <v xml:space="preserve">SUP APOIO INF LCD 15" ATMR4500 ROHS                 REV-01  </v>
          </cell>
          <cell r="D846" t="str">
            <v/>
          </cell>
          <cell r="E846" t="str">
            <v>KION IND E COM LT</v>
          </cell>
          <cell r="F846">
            <v>401</v>
          </cell>
          <cell r="G846">
            <v>44081</v>
          </cell>
          <cell r="H846">
            <v>377860</v>
          </cell>
          <cell r="J846">
            <v>35</v>
          </cell>
          <cell r="K846">
            <v>300</v>
          </cell>
          <cell r="L846">
            <v>300</v>
          </cell>
          <cell r="P846">
            <v>300</v>
          </cell>
          <cell r="Q846" t="str">
            <v xml:space="preserve">OP 29/07 - FM </v>
          </cell>
          <cell r="S846">
            <v>44074</v>
          </cell>
          <cell r="T846">
            <v>8</v>
          </cell>
        </row>
        <row r="847">
          <cell r="A847">
            <v>982074982</v>
          </cell>
          <cell r="B847" t="str">
            <v>65.113.00603-9</v>
          </cell>
          <cell r="C847" t="str">
            <v xml:space="preserve">SUP APOIO INF LCD 15" ATMR4500 ROHS                 REV-01  </v>
          </cell>
          <cell r="D847" t="str">
            <v/>
          </cell>
          <cell r="E847" t="str">
            <v>KION IND E COM LT</v>
          </cell>
          <cell r="F847">
            <v>401</v>
          </cell>
          <cell r="G847">
            <v>44102</v>
          </cell>
          <cell r="H847">
            <v>377860</v>
          </cell>
          <cell r="J847">
            <v>56</v>
          </cell>
          <cell r="K847">
            <v>200</v>
          </cell>
          <cell r="L847">
            <v>200</v>
          </cell>
          <cell r="P847">
            <v>200</v>
          </cell>
          <cell r="Q847" t="str">
            <v/>
          </cell>
          <cell r="S847">
            <v>44095</v>
          </cell>
          <cell r="T847">
            <v>11</v>
          </cell>
        </row>
        <row r="848">
          <cell r="A848">
            <v>202565149</v>
          </cell>
          <cell r="B848" t="str">
            <v>65.111.04338-8</v>
          </cell>
          <cell r="C848" t="str">
            <v xml:space="preserve">SUPT FIXO CINTA CBL    ROHS             REV-01      REV-01  </v>
          </cell>
          <cell r="D848" t="str">
            <v/>
          </cell>
          <cell r="E848" t="str">
            <v>KION IND E COM LT</v>
          </cell>
          <cell r="F848">
            <v>401</v>
          </cell>
          <cell r="G848">
            <v>43997</v>
          </cell>
          <cell r="H848">
            <v>668725</v>
          </cell>
          <cell r="I848" t="str">
            <v>K</v>
          </cell>
          <cell r="J848">
            <v>0</v>
          </cell>
          <cell r="K848">
            <v>100</v>
          </cell>
          <cell r="L848">
            <v>100</v>
          </cell>
          <cell r="N848">
            <v>100</v>
          </cell>
          <cell r="P848">
            <v>0</v>
          </cell>
          <cell r="Q848" t="str">
            <v>Laser 08/07 - FM</v>
          </cell>
          <cell r="T848" t="str">
            <v>DF</v>
          </cell>
        </row>
        <row r="849">
          <cell r="A849">
            <v>982074983</v>
          </cell>
          <cell r="B849" t="str">
            <v>65.113.00603-9</v>
          </cell>
          <cell r="C849" t="str">
            <v xml:space="preserve">SUP APOIO INF LCD 15" ATMR4500 ROHS                 REV-01  </v>
          </cell>
          <cell r="D849" t="str">
            <v/>
          </cell>
          <cell r="E849" t="str">
            <v>KION IND E COM LT</v>
          </cell>
          <cell r="F849">
            <v>401</v>
          </cell>
          <cell r="G849">
            <v>44130</v>
          </cell>
          <cell r="H849">
            <v>377860</v>
          </cell>
          <cell r="J849">
            <v>84</v>
          </cell>
          <cell r="K849">
            <v>180</v>
          </cell>
          <cell r="L849">
            <v>180</v>
          </cell>
          <cell r="P849">
            <v>180</v>
          </cell>
          <cell r="Q849" t="str">
            <v/>
          </cell>
          <cell r="S849" t="str">
            <v>DF</v>
          </cell>
          <cell r="T849" t="str">
            <v>DF</v>
          </cell>
        </row>
        <row r="850">
          <cell r="A850">
            <v>978703002</v>
          </cell>
          <cell r="B850" t="str">
            <v>65.113.00604-6</v>
          </cell>
          <cell r="C850" t="str">
            <v xml:space="preserve">SUP APOIO SUP LCD 15" ATMR4500 ROHS                 REV-01  </v>
          </cell>
          <cell r="D850" t="str">
            <v/>
          </cell>
          <cell r="E850" t="str">
            <v>KION IND E COM LT</v>
          </cell>
          <cell r="F850">
            <v>401</v>
          </cell>
          <cell r="G850">
            <v>44046</v>
          </cell>
          <cell r="H850">
            <v>376920</v>
          </cell>
          <cell r="J850">
            <v>0</v>
          </cell>
          <cell r="K850">
            <v>300</v>
          </cell>
          <cell r="L850">
            <v>300</v>
          </cell>
          <cell r="P850">
            <v>300</v>
          </cell>
          <cell r="Q850" t="str">
            <v>material em tratamento superficial - previsão de entrega até 07/08</v>
          </cell>
          <cell r="S850">
            <v>44046</v>
          </cell>
          <cell r="T850">
            <v>4</v>
          </cell>
        </row>
        <row r="851">
          <cell r="A851">
            <v>982074991</v>
          </cell>
          <cell r="B851" t="str">
            <v>65.113.00604-6</v>
          </cell>
          <cell r="C851" t="str">
            <v xml:space="preserve">SUP APOIO SUP LCD 15" ATMR4500 ROHS                 REV-01  </v>
          </cell>
          <cell r="D851" t="str">
            <v/>
          </cell>
          <cell r="E851" t="str">
            <v>KION IND E COM LT</v>
          </cell>
          <cell r="F851">
            <v>401</v>
          </cell>
          <cell r="G851">
            <v>44081</v>
          </cell>
          <cell r="H851">
            <v>377860</v>
          </cell>
          <cell r="J851">
            <v>35</v>
          </cell>
          <cell r="K851">
            <v>300</v>
          </cell>
          <cell r="L851">
            <v>300</v>
          </cell>
          <cell r="P851">
            <v>300</v>
          </cell>
          <cell r="Q851" t="str">
            <v xml:space="preserve">OP 29/07 - FM </v>
          </cell>
          <cell r="S851">
            <v>44074</v>
          </cell>
          <cell r="T851">
            <v>8</v>
          </cell>
        </row>
        <row r="852">
          <cell r="A852">
            <v>982074992</v>
          </cell>
          <cell r="B852" t="str">
            <v>65.113.00604-6</v>
          </cell>
          <cell r="C852" t="str">
            <v xml:space="preserve">SUP APOIO SUP LCD 15" ATMR4500 ROHS                 REV-01  </v>
          </cell>
          <cell r="D852" t="str">
            <v/>
          </cell>
          <cell r="E852" t="str">
            <v>KION IND E COM LT</v>
          </cell>
          <cell r="F852">
            <v>401</v>
          </cell>
          <cell r="G852">
            <v>44102</v>
          </cell>
          <cell r="H852">
            <v>377860</v>
          </cell>
          <cell r="J852">
            <v>56</v>
          </cell>
          <cell r="K852">
            <v>200</v>
          </cell>
          <cell r="L852">
            <v>200</v>
          </cell>
          <cell r="P852">
            <v>200</v>
          </cell>
          <cell r="Q852" t="str">
            <v/>
          </cell>
          <cell r="S852">
            <v>44095</v>
          </cell>
          <cell r="T852">
            <v>11</v>
          </cell>
        </row>
        <row r="853">
          <cell r="A853">
            <v>982074993</v>
          </cell>
          <cell r="B853" t="str">
            <v>65.113.00604-6</v>
          </cell>
          <cell r="C853" t="str">
            <v xml:space="preserve">SUP APOIO SUP LCD 15" ATMR4500 ROHS                 REV-01  </v>
          </cell>
          <cell r="D853" t="str">
            <v/>
          </cell>
          <cell r="E853" t="str">
            <v>KION IND E COM LT</v>
          </cell>
          <cell r="F853">
            <v>401</v>
          </cell>
          <cell r="G853">
            <v>44130</v>
          </cell>
          <cell r="H853">
            <v>377860</v>
          </cell>
          <cell r="J853">
            <v>84</v>
          </cell>
          <cell r="K853">
            <v>180</v>
          </cell>
          <cell r="L853">
            <v>180</v>
          </cell>
          <cell r="P853">
            <v>180</v>
          </cell>
          <cell r="Q853" t="str">
            <v/>
          </cell>
          <cell r="S853" t="str">
            <v>DF</v>
          </cell>
          <cell r="T853" t="str">
            <v>DF</v>
          </cell>
        </row>
        <row r="854">
          <cell r="A854">
            <v>708594001293</v>
          </cell>
          <cell r="B854" t="str">
            <v>65.116.00295-9</v>
          </cell>
          <cell r="C854" t="str">
            <v xml:space="preserve">BASE PROTEC FECHAD K7 NOT MMD/AFD ROHS   REV        REV-03  </v>
          </cell>
          <cell r="D854" t="str">
            <v/>
          </cell>
          <cell r="E854" t="str">
            <v>KION IND E COM LT</v>
          </cell>
          <cell r="F854">
            <v>401</v>
          </cell>
          <cell r="G854">
            <v>43997</v>
          </cell>
          <cell r="H854">
            <v>668725</v>
          </cell>
          <cell r="I854" t="str">
            <v>K</v>
          </cell>
          <cell r="J854">
            <v>-49</v>
          </cell>
          <cell r="K854">
            <v>130</v>
          </cell>
          <cell r="L854">
            <v>130</v>
          </cell>
          <cell r="P854">
            <v>130</v>
          </cell>
          <cell r="Q854" t="str">
            <v>Trat. 10/08 - 1775p - FIXPRINT</v>
          </cell>
          <cell r="S854">
            <v>44081</v>
          </cell>
          <cell r="T854">
            <v>9</v>
          </cell>
        </row>
        <row r="855">
          <cell r="A855">
            <v>708594001295</v>
          </cell>
          <cell r="B855" t="str">
            <v>65.116.00295-9</v>
          </cell>
          <cell r="C855" t="str">
            <v xml:space="preserve">BASE PROTEC FECHAD K7 NOT MMD/AFD ROHS   REV        REV-03  </v>
          </cell>
          <cell r="D855" t="str">
            <v/>
          </cell>
          <cell r="E855" t="str">
            <v>KION IND E COM LT</v>
          </cell>
          <cell r="F855">
            <v>401</v>
          </cell>
          <cell r="G855">
            <v>44004</v>
          </cell>
          <cell r="H855">
            <v>668725</v>
          </cell>
          <cell r="I855" t="str">
            <v>K</v>
          </cell>
          <cell r="J855">
            <v>-42</v>
          </cell>
          <cell r="K855">
            <v>100</v>
          </cell>
          <cell r="L855">
            <v>100</v>
          </cell>
          <cell r="P855">
            <v>100</v>
          </cell>
          <cell r="Q855" t="str">
            <v>Trat. 10/08 - FIXPRINT</v>
          </cell>
          <cell r="S855">
            <v>44081</v>
          </cell>
          <cell r="T855">
            <v>9</v>
          </cell>
        </row>
        <row r="856">
          <cell r="A856">
            <v>708594001296</v>
          </cell>
          <cell r="B856" t="str">
            <v>65.116.00295-9</v>
          </cell>
          <cell r="C856" t="str">
            <v xml:space="preserve">BASE PROTEC FECHAD K7 NOT MMD/AFD ROHS   REV        REV-03  </v>
          </cell>
          <cell r="D856" t="str">
            <v/>
          </cell>
          <cell r="E856" t="str">
            <v>KION IND E COM LT</v>
          </cell>
          <cell r="F856">
            <v>401</v>
          </cell>
          <cell r="G856">
            <v>44025</v>
          </cell>
          <cell r="H856">
            <v>668725</v>
          </cell>
          <cell r="I856" t="str">
            <v>K</v>
          </cell>
          <cell r="J856">
            <v>-21</v>
          </cell>
          <cell r="K856">
            <v>100</v>
          </cell>
          <cell r="L856">
            <v>100</v>
          </cell>
          <cell r="P856">
            <v>100</v>
          </cell>
          <cell r="Q856" t="str">
            <v>Trat. 10/08 - FIXPRINT</v>
          </cell>
          <cell r="S856" t="str">
            <v>DF</v>
          </cell>
          <cell r="T856" t="str">
            <v>DF</v>
          </cell>
        </row>
        <row r="857">
          <cell r="A857">
            <v>708594001297</v>
          </cell>
          <cell r="B857" t="str">
            <v>65.116.00295-9</v>
          </cell>
          <cell r="C857" t="str">
            <v xml:space="preserve">BASE PROTEC FECHAD K7 NOT MMD/AFD ROHS   REV        REV-03  </v>
          </cell>
          <cell r="D857" t="str">
            <v/>
          </cell>
          <cell r="E857" t="str">
            <v>KION IND E COM LT</v>
          </cell>
          <cell r="F857">
            <v>401</v>
          </cell>
          <cell r="G857">
            <v>44025</v>
          </cell>
          <cell r="H857">
            <v>668725</v>
          </cell>
          <cell r="I857" t="str">
            <v>K</v>
          </cell>
          <cell r="J857">
            <v>-21</v>
          </cell>
          <cell r="K857">
            <v>100</v>
          </cell>
          <cell r="L857">
            <v>100</v>
          </cell>
          <cell r="P857">
            <v>100</v>
          </cell>
          <cell r="Q857" t="str">
            <v>Trat. 10/08 - FIXPRINT</v>
          </cell>
          <cell r="S857" t="str">
            <v>DF</v>
          </cell>
          <cell r="T857" t="str">
            <v>DF</v>
          </cell>
        </row>
        <row r="858">
          <cell r="A858">
            <v>708594001298</v>
          </cell>
          <cell r="B858" t="str">
            <v>65.116.00295-9</v>
          </cell>
          <cell r="C858" t="str">
            <v xml:space="preserve">BASE PROTEC FECHAD K7 NOT MMD/AFD ROHS   REV        REV-03  </v>
          </cell>
          <cell r="D858" t="str">
            <v/>
          </cell>
          <cell r="E858" t="str">
            <v>KION IND E COM LT</v>
          </cell>
          <cell r="F858">
            <v>401</v>
          </cell>
          <cell r="G858">
            <v>44025</v>
          </cell>
          <cell r="H858">
            <v>668725</v>
          </cell>
          <cell r="I858" t="str">
            <v>K</v>
          </cell>
          <cell r="J858">
            <v>-21</v>
          </cell>
          <cell r="K858">
            <v>100</v>
          </cell>
          <cell r="L858">
            <v>100</v>
          </cell>
          <cell r="P858">
            <v>100</v>
          </cell>
          <cell r="Q858" t="str">
            <v>Trat. 10/08 - FIXPRINT</v>
          </cell>
          <cell r="S858" t="str">
            <v>DF</v>
          </cell>
          <cell r="T858" t="str">
            <v>DF</v>
          </cell>
        </row>
        <row r="859">
          <cell r="A859">
            <v>708594001299</v>
          </cell>
          <cell r="B859" t="str">
            <v>65.116.00295-9</v>
          </cell>
          <cell r="C859" t="str">
            <v xml:space="preserve">BASE PROTEC FECHAD K7 NOT MMD/AFD ROHS   REV        REV-03  </v>
          </cell>
          <cell r="D859" t="str">
            <v/>
          </cell>
          <cell r="E859" t="str">
            <v>KION IND E COM LT</v>
          </cell>
          <cell r="F859">
            <v>401</v>
          </cell>
          <cell r="G859">
            <v>44025</v>
          </cell>
          <cell r="H859">
            <v>668725</v>
          </cell>
          <cell r="I859" t="str">
            <v>K</v>
          </cell>
          <cell r="J859">
            <v>-21</v>
          </cell>
          <cell r="K859">
            <v>100</v>
          </cell>
          <cell r="L859">
            <v>100</v>
          </cell>
          <cell r="P859">
            <v>100</v>
          </cell>
          <cell r="Q859" t="str">
            <v>Trat. 10/08 - FIXPRINT</v>
          </cell>
          <cell r="S859" t="str">
            <v>DF</v>
          </cell>
          <cell r="T859" t="str">
            <v>DF</v>
          </cell>
        </row>
        <row r="860">
          <cell r="A860">
            <v>708594001300</v>
          </cell>
          <cell r="B860" t="str">
            <v>65.116.00295-9</v>
          </cell>
          <cell r="C860" t="str">
            <v xml:space="preserve">BASE PROTEC FECHAD K7 NOT MMD/AFD ROHS   REV        REV-03  </v>
          </cell>
          <cell r="D860" t="str">
            <v/>
          </cell>
          <cell r="E860" t="str">
            <v>KION IND E COM LT</v>
          </cell>
          <cell r="F860">
            <v>401</v>
          </cell>
          <cell r="G860">
            <v>44025</v>
          </cell>
          <cell r="H860">
            <v>668725</v>
          </cell>
          <cell r="I860" t="str">
            <v>K</v>
          </cell>
          <cell r="J860">
            <v>-21</v>
          </cell>
          <cell r="K860">
            <v>100</v>
          </cell>
          <cell r="L860">
            <v>100</v>
          </cell>
          <cell r="P860">
            <v>100</v>
          </cell>
          <cell r="Q860" t="str">
            <v>Trat. 10/08 - FIXPRINT</v>
          </cell>
          <cell r="S860" t="str">
            <v>DF</v>
          </cell>
          <cell r="T860" t="str">
            <v>DF</v>
          </cell>
        </row>
        <row r="861">
          <cell r="A861">
            <v>708597001045</v>
          </cell>
          <cell r="B861" t="str">
            <v>65.116.00365-5</v>
          </cell>
          <cell r="C861" t="str">
            <v>TAMPA PROT FECHAD K7 NOTA AFD ROHS  REV             REV-03</v>
          </cell>
          <cell r="D861" t="str">
            <v/>
          </cell>
          <cell r="E861" t="str">
            <v>KION IND E COM LT</v>
          </cell>
          <cell r="F861">
            <v>401</v>
          </cell>
          <cell r="G861">
            <v>44039</v>
          </cell>
          <cell r="H861">
            <v>668725</v>
          </cell>
          <cell r="I861" t="str">
            <v>K</v>
          </cell>
          <cell r="J861">
            <v>-7</v>
          </cell>
          <cell r="K861">
            <v>500</v>
          </cell>
          <cell r="L861">
            <v>500</v>
          </cell>
          <cell r="P861">
            <v>500</v>
          </cell>
          <cell r="Q861" t="str">
            <v/>
          </cell>
          <cell r="S861" t="str">
            <v>DF</v>
          </cell>
          <cell r="T861" t="str">
            <v>DF</v>
          </cell>
        </row>
        <row r="862">
          <cell r="A862">
            <v>202609183</v>
          </cell>
          <cell r="B862" t="str">
            <v>65.116.00384-6</v>
          </cell>
          <cell r="C862" t="str">
            <v>BASE LACRE K7 REJ PLAST OPTEVA BR ROHS   REV-       REV-02</v>
          </cell>
          <cell r="D862" t="str">
            <v/>
          </cell>
          <cell r="E862" t="str">
            <v>KION IND E COM LT</v>
          </cell>
          <cell r="F862">
            <v>401</v>
          </cell>
          <cell r="G862">
            <v>44025</v>
          </cell>
          <cell r="H862">
            <v>668725</v>
          </cell>
          <cell r="I862" t="str">
            <v>K</v>
          </cell>
          <cell r="J862">
            <v>-21</v>
          </cell>
          <cell r="K862">
            <v>100</v>
          </cell>
          <cell r="L862">
            <v>100</v>
          </cell>
          <cell r="P862">
            <v>100</v>
          </cell>
          <cell r="Q862" t="str">
            <v>Est Ok - FM (30/07)</v>
          </cell>
          <cell r="R862" t="str">
            <v>10/08 - A</v>
          </cell>
          <cell r="S862" t="str">
            <v>DF</v>
          </cell>
          <cell r="T862" t="str">
            <v>DF</v>
          </cell>
        </row>
        <row r="863">
          <cell r="A863">
            <v>202609184</v>
          </cell>
          <cell r="B863" t="str">
            <v>65.116.00384-6</v>
          </cell>
          <cell r="C863" t="str">
            <v>BASE LACRE K7 REJ PLAST OPTEVA BR ROHS   REV-       REV-02</v>
          </cell>
          <cell r="D863" t="str">
            <v/>
          </cell>
          <cell r="E863" t="str">
            <v>KION IND E COM LT</v>
          </cell>
          <cell r="F863">
            <v>401</v>
          </cell>
          <cell r="G863">
            <v>44025</v>
          </cell>
          <cell r="H863">
            <v>668725</v>
          </cell>
          <cell r="I863" t="str">
            <v>K</v>
          </cell>
          <cell r="J863">
            <v>-21</v>
          </cell>
          <cell r="K863">
            <v>100</v>
          </cell>
          <cell r="L863">
            <v>100</v>
          </cell>
          <cell r="P863">
            <v>100</v>
          </cell>
          <cell r="Q863" t="str">
            <v>Est Ok - FM (30/07) + 160</v>
          </cell>
          <cell r="R863" t="str">
            <v>10/08 - A</v>
          </cell>
          <cell r="S863" t="str">
            <v>DF</v>
          </cell>
          <cell r="T863" t="str">
            <v>DF</v>
          </cell>
        </row>
        <row r="864">
          <cell r="A864">
            <v>202610184</v>
          </cell>
          <cell r="B864" t="str">
            <v>65.116.00385-3</v>
          </cell>
          <cell r="C864" t="str">
            <v>TAMPA LACRE K7 REJ PLAST OPTEV BR ROHS REV-01       REV-02</v>
          </cell>
          <cell r="D864" t="str">
            <v/>
          </cell>
          <cell r="E864" t="str">
            <v>KION IND E COM LT</v>
          </cell>
          <cell r="F864">
            <v>401</v>
          </cell>
          <cell r="G864">
            <v>44025</v>
          </cell>
          <cell r="H864">
            <v>668725</v>
          </cell>
          <cell r="I864" t="str">
            <v>K</v>
          </cell>
          <cell r="J864">
            <v>-21</v>
          </cell>
          <cell r="K864">
            <v>100</v>
          </cell>
          <cell r="L864">
            <v>100</v>
          </cell>
          <cell r="P864">
            <v>100</v>
          </cell>
          <cell r="Q864" t="str">
            <v>ESTAMP. 30/07 - FM</v>
          </cell>
          <cell r="S864" t="str">
            <v>DF</v>
          </cell>
          <cell r="T864" t="str">
            <v>DF</v>
          </cell>
        </row>
        <row r="865">
          <cell r="A865">
            <v>202610185</v>
          </cell>
          <cell r="B865" t="str">
            <v>65.116.00385-3</v>
          </cell>
          <cell r="C865" t="str">
            <v>TAMPA LACRE K7 REJ PLAST OPTEV BR ROHS REV-01       REV-02</v>
          </cell>
          <cell r="D865" t="str">
            <v/>
          </cell>
          <cell r="E865" t="str">
            <v>KION IND E COM LT</v>
          </cell>
          <cell r="F865">
            <v>401</v>
          </cell>
          <cell r="G865">
            <v>44025</v>
          </cell>
          <cell r="H865">
            <v>668725</v>
          </cell>
          <cell r="I865" t="str">
            <v>K</v>
          </cell>
          <cell r="J865">
            <v>-21</v>
          </cell>
          <cell r="K865">
            <v>100</v>
          </cell>
          <cell r="L865">
            <v>100</v>
          </cell>
          <cell r="P865">
            <v>100</v>
          </cell>
          <cell r="Q865" t="str">
            <v>ESTAMP. 30/07 - FM</v>
          </cell>
          <cell r="S865" t="str">
            <v>DF</v>
          </cell>
          <cell r="T865" t="str">
            <v>DF</v>
          </cell>
        </row>
        <row r="866">
          <cell r="A866">
            <v>201215156</v>
          </cell>
          <cell r="B866" t="str">
            <v>65.116.00452-8</v>
          </cell>
          <cell r="C866" t="str">
            <v xml:space="preserve">SHUTTER PIN DIP PR BB ASKM                          REV-01  </v>
          </cell>
          <cell r="D866" t="str">
            <v/>
          </cell>
          <cell r="E866" t="str">
            <v>KION IND E COM LT</v>
          </cell>
          <cell r="F866">
            <v>401</v>
          </cell>
          <cell r="G866">
            <v>44025</v>
          </cell>
          <cell r="H866">
            <v>668725</v>
          </cell>
          <cell r="I866" t="str">
            <v>K</v>
          </cell>
          <cell r="J866">
            <v>-21</v>
          </cell>
          <cell r="K866">
            <v>100</v>
          </cell>
          <cell r="L866">
            <v>100</v>
          </cell>
          <cell r="P866">
            <v>100</v>
          </cell>
          <cell r="Q866" t="str">
            <v>Trat. 08/07 - GDL(+57p)</v>
          </cell>
          <cell r="S866">
            <v>44067</v>
          </cell>
          <cell r="T866">
            <v>7</v>
          </cell>
        </row>
        <row r="867">
          <cell r="A867">
            <v>202572150</v>
          </cell>
          <cell r="B867" t="str">
            <v>65.111.05972-1</v>
          </cell>
          <cell r="C867" t="str">
            <v xml:space="preserve">CHAPA FIX CONECTOR K7 PORTA DISSUASAO K7 AFD        REV-03  </v>
          </cell>
          <cell r="D867" t="str">
            <v/>
          </cell>
          <cell r="E867" t="str">
            <v>KION IND E COM LT</v>
          </cell>
          <cell r="F867">
            <v>401</v>
          </cell>
          <cell r="G867">
            <v>44019</v>
          </cell>
          <cell r="H867">
            <v>668725</v>
          </cell>
          <cell r="I867" t="str">
            <v>K</v>
          </cell>
          <cell r="J867">
            <v>0</v>
          </cell>
          <cell r="K867">
            <v>20</v>
          </cell>
          <cell r="L867">
            <v>20</v>
          </cell>
          <cell r="O867">
            <v>20</v>
          </cell>
          <cell r="P867">
            <v>0</v>
          </cell>
          <cell r="Q867" t="str">
            <v/>
          </cell>
          <cell r="T867" t="str">
            <v>DF</v>
          </cell>
        </row>
        <row r="868">
          <cell r="A868">
            <v>20362294</v>
          </cell>
          <cell r="B868" t="str">
            <v>65.111.06209-7</v>
          </cell>
          <cell r="C868" t="str">
            <v xml:space="preserve">SUP CONECTOR (6 VIAS) CB SENS INT COFRE CEF ROHS    REV-01  </v>
          </cell>
          <cell r="D868" t="str">
            <v/>
          </cell>
          <cell r="E868" t="str">
            <v>KION IND E COM LT</v>
          </cell>
          <cell r="F868">
            <v>401</v>
          </cell>
          <cell r="G868">
            <v>44011</v>
          </cell>
          <cell r="H868">
            <v>668725</v>
          </cell>
          <cell r="I868" t="str">
            <v>K</v>
          </cell>
          <cell r="J868">
            <v>0</v>
          </cell>
          <cell r="K868">
            <v>100</v>
          </cell>
          <cell r="L868">
            <v>100</v>
          </cell>
          <cell r="N868">
            <v>100</v>
          </cell>
          <cell r="P868">
            <v>0</v>
          </cell>
          <cell r="Q868" t="str">
            <v>Trat. 22/07 - 274p - DIADEMA</v>
          </cell>
          <cell r="T868" t="str">
            <v>DF</v>
          </cell>
        </row>
        <row r="869">
          <cell r="A869">
            <v>20362295</v>
          </cell>
          <cell r="B869" t="str">
            <v>65.111.06209-7</v>
          </cell>
          <cell r="C869" t="str">
            <v xml:space="preserve">SUP CONECTOR (6 VIAS) CB SENS INT COFRE CEF ROHS    REV-01  </v>
          </cell>
          <cell r="D869" t="str">
            <v/>
          </cell>
          <cell r="E869" t="str">
            <v>KION IND E COM LT</v>
          </cell>
          <cell r="F869">
            <v>401</v>
          </cell>
          <cell r="G869">
            <v>44019</v>
          </cell>
          <cell r="H869">
            <v>668725</v>
          </cell>
          <cell r="I869" t="str">
            <v>K</v>
          </cell>
          <cell r="J869">
            <v>0</v>
          </cell>
          <cell r="K869">
            <v>150</v>
          </cell>
          <cell r="L869">
            <v>150</v>
          </cell>
          <cell r="N869">
            <v>150</v>
          </cell>
          <cell r="P869">
            <v>0</v>
          </cell>
          <cell r="Q869" t="str">
            <v>Trat. 22/07 - DIADEMA</v>
          </cell>
          <cell r="T869" t="str">
            <v>DF</v>
          </cell>
        </row>
        <row r="870">
          <cell r="A870">
            <v>20362296</v>
          </cell>
          <cell r="B870" t="str">
            <v>65.111.06209-7</v>
          </cell>
          <cell r="C870" t="str">
            <v xml:space="preserve">SUP CONECTOR (6 VIAS) CB SENS INT COFRE CEF ROHS    REV-01  </v>
          </cell>
          <cell r="D870" t="str">
            <v/>
          </cell>
          <cell r="E870" t="str">
            <v>KION IND E COM LT</v>
          </cell>
          <cell r="F870">
            <v>401</v>
          </cell>
          <cell r="G870">
            <v>44025</v>
          </cell>
          <cell r="H870">
            <v>668725</v>
          </cell>
          <cell r="I870" t="str">
            <v>K</v>
          </cell>
          <cell r="J870">
            <v>0</v>
          </cell>
          <cell r="K870">
            <v>10</v>
          </cell>
          <cell r="L870">
            <v>10</v>
          </cell>
          <cell r="N870">
            <v>10</v>
          </cell>
          <cell r="P870">
            <v>0</v>
          </cell>
          <cell r="Q870" t="str">
            <v>Trat. 22/07 - DIADEMA</v>
          </cell>
          <cell r="T870" t="str">
            <v>DF</v>
          </cell>
        </row>
        <row r="871">
          <cell r="A871">
            <v>201215157</v>
          </cell>
          <cell r="B871" t="str">
            <v>65.116.00452-8</v>
          </cell>
          <cell r="C871" t="str">
            <v xml:space="preserve">SHUTTER PIN DIP PR BB ASKM                          REV-01  </v>
          </cell>
          <cell r="D871" t="str">
            <v/>
          </cell>
          <cell r="E871" t="str">
            <v>KION IND E COM LT</v>
          </cell>
          <cell r="F871">
            <v>401</v>
          </cell>
          <cell r="G871">
            <v>44025</v>
          </cell>
          <cell r="H871">
            <v>668725</v>
          </cell>
          <cell r="I871" t="str">
            <v>K</v>
          </cell>
          <cell r="J871">
            <v>-21</v>
          </cell>
          <cell r="K871">
            <v>100</v>
          </cell>
          <cell r="L871">
            <v>100</v>
          </cell>
          <cell r="P871">
            <v>100</v>
          </cell>
          <cell r="Q871" t="str">
            <v>ESTAMP. 30/07 - FM</v>
          </cell>
          <cell r="S871">
            <v>44074</v>
          </cell>
          <cell r="T871">
            <v>8</v>
          </cell>
        </row>
        <row r="872">
          <cell r="A872">
            <v>201215158</v>
          </cell>
          <cell r="B872" t="str">
            <v>65.116.00452-8</v>
          </cell>
          <cell r="C872" t="str">
            <v xml:space="preserve">SHUTTER PIN DIP PR BB ASKM                          REV-01  </v>
          </cell>
          <cell r="D872" t="str">
            <v/>
          </cell>
          <cell r="E872" t="str">
            <v>KION IND E COM LT</v>
          </cell>
          <cell r="F872">
            <v>401</v>
          </cell>
          <cell r="G872">
            <v>44025</v>
          </cell>
          <cell r="H872">
            <v>668725</v>
          </cell>
          <cell r="I872" t="str">
            <v>K</v>
          </cell>
          <cell r="J872">
            <v>-21</v>
          </cell>
          <cell r="K872">
            <v>100</v>
          </cell>
          <cell r="L872">
            <v>100</v>
          </cell>
          <cell r="P872">
            <v>100</v>
          </cell>
          <cell r="Q872" t="str">
            <v>ESTAMP. 30/07 - FM</v>
          </cell>
          <cell r="S872">
            <v>44081</v>
          </cell>
          <cell r="T872">
            <v>9</v>
          </cell>
        </row>
        <row r="873">
          <cell r="A873">
            <v>201215159</v>
          </cell>
          <cell r="B873" t="str">
            <v>65.116.00452-8</v>
          </cell>
          <cell r="C873" t="str">
            <v xml:space="preserve">SHUTTER PIN DIP PR BB ASKM                          REV-01  </v>
          </cell>
          <cell r="D873" t="str">
            <v/>
          </cell>
          <cell r="E873" t="str">
            <v>KION IND E COM LT</v>
          </cell>
          <cell r="F873">
            <v>401</v>
          </cell>
          <cell r="G873">
            <v>44025</v>
          </cell>
          <cell r="H873">
            <v>668725</v>
          </cell>
          <cell r="I873" t="str">
            <v>K</v>
          </cell>
          <cell r="J873">
            <v>-21</v>
          </cell>
          <cell r="K873">
            <v>100</v>
          </cell>
          <cell r="L873">
            <v>100</v>
          </cell>
          <cell r="P873">
            <v>100</v>
          </cell>
          <cell r="Q873" t="str">
            <v>ESTAMP. 30/07 - FM</v>
          </cell>
          <cell r="S873">
            <v>44081</v>
          </cell>
          <cell r="T873">
            <v>9</v>
          </cell>
        </row>
        <row r="874">
          <cell r="A874">
            <v>201215160</v>
          </cell>
          <cell r="B874" t="str">
            <v>65.116.00452-8</v>
          </cell>
          <cell r="C874" t="str">
            <v xml:space="preserve">SHUTTER PIN DIP PR BB ASKM                          REV-01  </v>
          </cell>
          <cell r="D874" t="str">
            <v/>
          </cell>
          <cell r="E874" t="str">
            <v>KION IND E COM LT</v>
          </cell>
          <cell r="F874">
            <v>401</v>
          </cell>
          <cell r="G874">
            <v>44025</v>
          </cell>
          <cell r="H874">
            <v>668725</v>
          </cell>
          <cell r="I874" t="str">
            <v>K</v>
          </cell>
          <cell r="J874">
            <v>-21</v>
          </cell>
          <cell r="K874">
            <v>100</v>
          </cell>
          <cell r="L874">
            <v>100</v>
          </cell>
          <cell r="P874">
            <v>100</v>
          </cell>
          <cell r="Q874" t="str">
            <v>ESTAMP. 30/07 - FM</v>
          </cell>
          <cell r="S874">
            <v>44081</v>
          </cell>
          <cell r="T874">
            <v>9</v>
          </cell>
        </row>
        <row r="875">
          <cell r="A875">
            <v>201215155</v>
          </cell>
          <cell r="B875" t="str">
            <v>65.116.00452-8</v>
          </cell>
          <cell r="C875" t="str">
            <v xml:space="preserve">SHUTTER PIN DIP PR BB ASKM                          REV-01  </v>
          </cell>
          <cell r="D875" t="str">
            <v/>
          </cell>
          <cell r="E875" t="str">
            <v>KION IND E COM LT</v>
          </cell>
          <cell r="F875">
            <v>401</v>
          </cell>
          <cell r="G875">
            <v>44011</v>
          </cell>
          <cell r="H875">
            <v>668725</v>
          </cell>
          <cell r="I875" t="str">
            <v>K</v>
          </cell>
          <cell r="J875">
            <v>-35</v>
          </cell>
          <cell r="K875">
            <v>100</v>
          </cell>
          <cell r="L875">
            <v>100</v>
          </cell>
          <cell r="P875">
            <v>100</v>
          </cell>
          <cell r="Q875" t="str">
            <v>coleta solicitada em 03/08</v>
          </cell>
          <cell r="S875">
            <v>44053</v>
          </cell>
          <cell r="T875">
            <v>5</v>
          </cell>
        </row>
        <row r="876">
          <cell r="A876">
            <v>975404001</v>
          </cell>
          <cell r="B876" t="str">
            <v>65.116.00491-7</v>
          </cell>
          <cell r="C876" t="str">
            <v>SUP FIX SIRENE ATM4500 ROHS                         REV-03</v>
          </cell>
          <cell r="D876" t="str">
            <v/>
          </cell>
          <cell r="E876" t="str">
            <v>KION IND E COM LT</v>
          </cell>
          <cell r="F876">
            <v>401</v>
          </cell>
          <cell r="G876">
            <v>43969</v>
          </cell>
          <cell r="H876">
            <v>376139</v>
          </cell>
          <cell r="J876">
            <v>-77</v>
          </cell>
          <cell r="K876">
            <v>100</v>
          </cell>
          <cell r="L876">
            <v>100</v>
          </cell>
          <cell r="P876">
            <v>100</v>
          </cell>
          <cell r="Q876" t="str">
            <v>EST OK (VK - 20/05)</v>
          </cell>
          <cell r="S876">
            <v>44081</v>
          </cell>
          <cell r="T876">
            <v>9</v>
          </cell>
        </row>
        <row r="877">
          <cell r="A877">
            <v>975404002</v>
          </cell>
          <cell r="B877" t="str">
            <v>65.116.00491-7</v>
          </cell>
          <cell r="C877" t="str">
            <v>SUP FIX SIRENE ATM4500 ROHS                         REV-03</v>
          </cell>
          <cell r="D877" t="str">
            <v/>
          </cell>
          <cell r="E877" t="str">
            <v>KION IND E COM LT</v>
          </cell>
          <cell r="F877">
            <v>401</v>
          </cell>
          <cell r="G877">
            <v>43997</v>
          </cell>
          <cell r="H877">
            <v>376139</v>
          </cell>
          <cell r="J877">
            <v>-49</v>
          </cell>
          <cell r="K877">
            <v>100</v>
          </cell>
          <cell r="L877">
            <v>100</v>
          </cell>
          <cell r="P877">
            <v>100</v>
          </cell>
          <cell r="Q877" t="str">
            <v>EST OK (VK - 20/05)</v>
          </cell>
          <cell r="S877">
            <v>44081</v>
          </cell>
          <cell r="T877">
            <v>9</v>
          </cell>
        </row>
        <row r="878">
          <cell r="A878">
            <v>974367001</v>
          </cell>
          <cell r="B878" t="str">
            <v>65.116.00491-7</v>
          </cell>
          <cell r="C878" t="str">
            <v>SUP FIX SIRENE ATM4500 ROHS                         REV-03</v>
          </cell>
          <cell r="D878" t="str">
            <v/>
          </cell>
          <cell r="E878" t="str">
            <v>KION IND E COM LT</v>
          </cell>
          <cell r="F878">
            <v>401</v>
          </cell>
          <cell r="G878">
            <v>44039</v>
          </cell>
          <cell r="H878">
            <v>375976</v>
          </cell>
          <cell r="J878">
            <v>-7</v>
          </cell>
          <cell r="K878">
            <v>100</v>
          </cell>
          <cell r="L878">
            <v>100</v>
          </cell>
          <cell r="P878">
            <v>100</v>
          </cell>
          <cell r="Q878" t="str">
            <v/>
          </cell>
          <cell r="S878">
            <v>44081</v>
          </cell>
          <cell r="T878">
            <v>9</v>
          </cell>
        </row>
        <row r="879">
          <cell r="A879">
            <v>975404003</v>
          </cell>
          <cell r="B879" t="str">
            <v>65.116.00491-7</v>
          </cell>
          <cell r="C879" t="str">
            <v>SUP FIX SIRENE ATM4500 ROHS                         REV-03</v>
          </cell>
          <cell r="D879" t="str">
            <v/>
          </cell>
          <cell r="E879" t="str">
            <v>KION IND E COM LT</v>
          </cell>
          <cell r="F879">
            <v>401</v>
          </cell>
          <cell r="G879">
            <v>44053</v>
          </cell>
          <cell r="H879">
            <v>376139</v>
          </cell>
          <cell r="J879">
            <v>7</v>
          </cell>
          <cell r="K879">
            <v>90</v>
          </cell>
          <cell r="L879">
            <v>90</v>
          </cell>
          <cell r="P879">
            <v>90</v>
          </cell>
          <cell r="Q879" t="str">
            <v/>
          </cell>
          <cell r="S879" t="str">
            <v>DF</v>
          </cell>
          <cell r="T879" t="str">
            <v>DF</v>
          </cell>
        </row>
        <row r="880">
          <cell r="A880">
            <v>982069481</v>
          </cell>
          <cell r="B880" t="str">
            <v>65.116.00491-7</v>
          </cell>
          <cell r="C880" t="str">
            <v>SUP FIX SIRENE ATM4500 ROHS                         REV-03</v>
          </cell>
          <cell r="D880" t="str">
            <v/>
          </cell>
          <cell r="E880" t="str">
            <v>KION IND E COM LT</v>
          </cell>
          <cell r="F880">
            <v>401</v>
          </cell>
          <cell r="G880">
            <v>44116</v>
          </cell>
          <cell r="H880">
            <v>377859</v>
          </cell>
          <cell r="J880">
            <v>70</v>
          </cell>
          <cell r="K880">
            <v>40</v>
          </cell>
          <cell r="L880">
            <v>40</v>
          </cell>
          <cell r="P880">
            <v>40</v>
          </cell>
          <cell r="Q880" t="str">
            <v/>
          </cell>
          <cell r="S880" t="str">
            <v>DF</v>
          </cell>
          <cell r="T880" t="str">
            <v>DF</v>
          </cell>
        </row>
        <row r="881">
          <cell r="A881">
            <v>982074901</v>
          </cell>
          <cell r="B881" t="str">
            <v>65.116.00491-7</v>
          </cell>
          <cell r="C881" t="str">
            <v>SUP FIX SIRENE ATM4500 ROHS                         REV-03</v>
          </cell>
          <cell r="D881" t="str">
            <v/>
          </cell>
          <cell r="E881" t="str">
            <v>KION IND E COM LT</v>
          </cell>
          <cell r="F881">
            <v>401</v>
          </cell>
          <cell r="G881">
            <v>44116</v>
          </cell>
          <cell r="H881">
            <v>377860</v>
          </cell>
          <cell r="J881">
            <v>70</v>
          </cell>
          <cell r="K881">
            <v>120</v>
          </cell>
          <cell r="L881">
            <v>120</v>
          </cell>
          <cell r="P881">
            <v>120</v>
          </cell>
          <cell r="Q881" t="str">
            <v/>
          </cell>
          <cell r="S881" t="str">
            <v>DF</v>
          </cell>
          <cell r="T881" t="str">
            <v>DF</v>
          </cell>
        </row>
        <row r="882">
          <cell r="A882">
            <v>982093531</v>
          </cell>
          <cell r="B882" t="str">
            <v>65.116.00491-7</v>
          </cell>
          <cell r="C882" t="str">
            <v>SUP FIX SIRENE ATM4500 ROHS                         REV-03</v>
          </cell>
          <cell r="D882" t="str">
            <v/>
          </cell>
          <cell r="E882" t="str">
            <v>KION IND E COM LT</v>
          </cell>
          <cell r="F882">
            <v>401</v>
          </cell>
          <cell r="G882">
            <v>44137</v>
          </cell>
          <cell r="H882">
            <v>378015</v>
          </cell>
          <cell r="J882">
            <v>91</v>
          </cell>
          <cell r="K882">
            <v>50</v>
          </cell>
          <cell r="L882">
            <v>50</v>
          </cell>
          <cell r="P882">
            <v>50</v>
          </cell>
          <cell r="Q882" t="str">
            <v/>
          </cell>
          <cell r="S882" t="str">
            <v>DF</v>
          </cell>
          <cell r="T882" t="str">
            <v>DF</v>
          </cell>
        </row>
        <row r="883">
          <cell r="A883">
            <v>979213001</v>
          </cell>
          <cell r="B883" t="str">
            <v>65.116.00635-7</v>
          </cell>
          <cell r="C883" t="str">
            <v>PROTEﾇAO SHUTTER DEP PENTASIS PRETO                 REV-04</v>
          </cell>
          <cell r="D883" t="str">
            <v/>
          </cell>
          <cell r="E883" t="str">
            <v>KION IND E COM LT</v>
          </cell>
          <cell r="F883">
            <v>401</v>
          </cell>
          <cell r="G883">
            <v>44088</v>
          </cell>
          <cell r="H883">
            <v>376920</v>
          </cell>
          <cell r="J883">
            <v>42</v>
          </cell>
          <cell r="K883">
            <v>100</v>
          </cell>
          <cell r="L883">
            <v>100</v>
          </cell>
          <cell r="P883">
            <v>100</v>
          </cell>
          <cell r="Q883" t="str">
            <v/>
          </cell>
          <cell r="S883" t="str">
            <v>DF</v>
          </cell>
          <cell r="T883" t="str">
            <v>DF</v>
          </cell>
        </row>
        <row r="884">
          <cell r="A884">
            <v>982093931</v>
          </cell>
          <cell r="B884" t="str">
            <v>65.116.00635-7</v>
          </cell>
          <cell r="C884" t="str">
            <v>PROTEﾇAO SHUTTER DEP PENTASIS PRETO                 REV-04</v>
          </cell>
          <cell r="D884" t="str">
            <v/>
          </cell>
          <cell r="E884" t="str">
            <v>KION IND E COM LT</v>
          </cell>
          <cell r="F884">
            <v>401</v>
          </cell>
          <cell r="G884">
            <v>44137</v>
          </cell>
          <cell r="H884">
            <v>378015</v>
          </cell>
          <cell r="J884">
            <v>91</v>
          </cell>
          <cell r="K884">
            <v>50</v>
          </cell>
          <cell r="L884">
            <v>50</v>
          </cell>
          <cell r="P884">
            <v>50</v>
          </cell>
          <cell r="Q884" t="str">
            <v/>
          </cell>
          <cell r="S884" t="str">
            <v>DF</v>
          </cell>
          <cell r="T884" t="str">
            <v>DF</v>
          </cell>
        </row>
        <row r="885">
          <cell r="A885">
            <v>982093651</v>
          </cell>
          <cell r="B885" t="str">
            <v>65.116.00834-6</v>
          </cell>
          <cell r="C885" t="str">
            <v>SUP DIP+ASKM C/ SOLENOIDE PINT ATM4500 ROHS         REV-00</v>
          </cell>
          <cell r="D885" t="str">
            <v/>
          </cell>
          <cell r="E885" t="str">
            <v>KION IND E COM LT</v>
          </cell>
          <cell r="F885">
            <v>401</v>
          </cell>
          <cell r="G885">
            <v>44053</v>
          </cell>
          <cell r="H885">
            <v>378015</v>
          </cell>
          <cell r="J885">
            <v>7</v>
          </cell>
          <cell r="K885">
            <v>10</v>
          </cell>
          <cell r="L885">
            <v>10</v>
          </cell>
          <cell r="P885">
            <v>10</v>
          </cell>
          <cell r="Q885" t="str">
            <v>OP 28/07 - FM</v>
          </cell>
          <cell r="S885">
            <v>44081</v>
          </cell>
          <cell r="T885">
            <v>9</v>
          </cell>
        </row>
        <row r="886">
          <cell r="A886">
            <v>982093652</v>
          </cell>
          <cell r="B886" t="str">
            <v>65.116.00834-6</v>
          </cell>
          <cell r="C886" t="str">
            <v>SUP DIP+ASKM C/ SOLENOIDE PINT ATM4500 ROHS         REV-00</v>
          </cell>
          <cell r="D886" t="str">
            <v/>
          </cell>
          <cell r="E886" t="str">
            <v>KION IND E COM LT</v>
          </cell>
          <cell r="F886">
            <v>401</v>
          </cell>
          <cell r="G886">
            <v>44067</v>
          </cell>
          <cell r="H886">
            <v>378015</v>
          </cell>
          <cell r="J886">
            <v>21</v>
          </cell>
          <cell r="K886">
            <v>50</v>
          </cell>
          <cell r="L886">
            <v>50</v>
          </cell>
          <cell r="P886">
            <v>50</v>
          </cell>
          <cell r="Q886" t="str">
            <v>OP 28/07 - FM</v>
          </cell>
          <cell r="S886">
            <v>44081</v>
          </cell>
          <cell r="T886">
            <v>9</v>
          </cell>
        </row>
        <row r="887">
          <cell r="A887">
            <v>132911</v>
          </cell>
          <cell r="B887" t="str">
            <v>65.116.00850-6</v>
          </cell>
          <cell r="C887" t="str">
            <v>SHUTTER PENTASIS BANDEIRA REDUZIDA                  REV-01</v>
          </cell>
          <cell r="D887" t="str">
            <v/>
          </cell>
          <cell r="E887" t="str">
            <v>KION IND E COM LT</v>
          </cell>
          <cell r="F887">
            <v>401</v>
          </cell>
          <cell r="G887">
            <v>44032</v>
          </cell>
          <cell r="H887">
            <v>377325</v>
          </cell>
          <cell r="I887" t="str">
            <v>K</v>
          </cell>
          <cell r="J887">
            <v>-14</v>
          </cell>
          <cell r="K887">
            <v>100</v>
          </cell>
          <cell r="L887">
            <v>100</v>
          </cell>
          <cell r="P887">
            <v>100</v>
          </cell>
          <cell r="Q887" t="str">
            <v>OP 25/06 - FM</v>
          </cell>
          <cell r="S887">
            <v>44081</v>
          </cell>
          <cell r="T887">
            <v>9</v>
          </cell>
        </row>
        <row r="888">
          <cell r="A888">
            <v>133471</v>
          </cell>
          <cell r="B888" t="str">
            <v>65.116.00850-6</v>
          </cell>
          <cell r="C888" t="str">
            <v>SHUTTER PENTASIS BANDEIRA REDUZIDA                  REV-01</v>
          </cell>
          <cell r="D888" t="str">
            <v/>
          </cell>
          <cell r="E888" t="str">
            <v>KION IND E COM LT</v>
          </cell>
          <cell r="F888">
            <v>401</v>
          </cell>
          <cell r="G888">
            <v>44039</v>
          </cell>
          <cell r="H888">
            <v>377859</v>
          </cell>
          <cell r="I888" t="str">
            <v>K</v>
          </cell>
          <cell r="J888">
            <v>-7</v>
          </cell>
          <cell r="K888">
            <v>100</v>
          </cell>
          <cell r="L888">
            <v>100</v>
          </cell>
          <cell r="P888">
            <v>100</v>
          </cell>
          <cell r="Q888" t="str">
            <v/>
          </cell>
          <cell r="S888" t="str">
            <v>DF</v>
          </cell>
          <cell r="T888" t="str">
            <v>DF</v>
          </cell>
        </row>
        <row r="889">
          <cell r="A889">
            <v>202613113</v>
          </cell>
          <cell r="B889" t="str">
            <v>65.116.01032-9</v>
          </cell>
          <cell r="C889" t="str">
            <v xml:space="preserve">SUP SENS ARRANC DIP BB C/ ASKM ROHS                 REV-00  </v>
          </cell>
          <cell r="D889" t="str">
            <v/>
          </cell>
          <cell r="E889" t="str">
            <v>KION IND E COM LT</v>
          </cell>
          <cell r="F889">
            <v>401</v>
          </cell>
          <cell r="G889">
            <v>44011</v>
          </cell>
          <cell r="H889">
            <v>668725</v>
          </cell>
          <cell r="I889" t="str">
            <v>K</v>
          </cell>
          <cell r="J889">
            <v>-35</v>
          </cell>
          <cell r="K889">
            <v>100</v>
          </cell>
          <cell r="L889">
            <v>100</v>
          </cell>
          <cell r="P889">
            <v>100</v>
          </cell>
          <cell r="Q889" t="str">
            <v>material em pintura - previsão de entrega até 07/08</v>
          </cell>
          <cell r="R889" t="str">
            <v>06/08 - B</v>
          </cell>
          <cell r="S889" t="str">
            <v>Imediato</v>
          </cell>
          <cell r="T889">
            <v>3</v>
          </cell>
        </row>
        <row r="890">
          <cell r="A890">
            <v>202613114</v>
          </cell>
          <cell r="B890" t="str">
            <v>65.116.01032-9</v>
          </cell>
          <cell r="C890" t="str">
            <v xml:space="preserve">SUP SENS ARRANC DIP BB C/ ASKM ROHS                 REV-00  </v>
          </cell>
          <cell r="D890" t="str">
            <v/>
          </cell>
          <cell r="E890" t="str">
            <v>KION IND E COM LT</v>
          </cell>
          <cell r="F890">
            <v>401</v>
          </cell>
          <cell r="G890">
            <v>44011</v>
          </cell>
          <cell r="H890">
            <v>668725</v>
          </cell>
          <cell r="I890" t="str">
            <v>K</v>
          </cell>
          <cell r="J890">
            <v>-35</v>
          </cell>
          <cell r="K890">
            <v>100</v>
          </cell>
          <cell r="L890">
            <v>100</v>
          </cell>
          <cell r="P890">
            <v>100</v>
          </cell>
          <cell r="Q890" t="str">
            <v>material em pintura - previsão de entrega até 07/08</v>
          </cell>
          <cell r="R890" t="str">
            <v>06/08 - B</v>
          </cell>
          <cell r="S890">
            <v>44046</v>
          </cell>
          <cell r="T890">
            <v>4</v>
          </cell>
        </row>
        <row r="891">
          <cell r="A891">
            <v>202613116</v>
          </cell>
          <cell r="B891" t="str">
            <v>65.116.01032-9</v>
          </cell>
          <cell r="C891" t="str">
            <v xml:space="preserve">SUP SENS ARRANC DIP BB C/ ASKM ROHS                 REV-00  </v>
          </cell>
          <cell r="D891" t="str">
            <v/>
          </cell>
          <cell r="E891" t="str">
            <v>KION IND E COM LT</v>
          </cell>
          <cell r="F891">
            <v>401</v>
          </cell>
          <cell r="G891">
            <v>44025</v>
          </cell>
          <cell r="H891">
            <v>668725</v>
          </cell>
          <cell r="I891" t="str">
            <v>K</v>
          </cell>
          <cell r="J891">
            <v>-21</v>
          </cell>
          <cell r="K891">
            <v>100</v>
          </cell>
          <cell r="L891">
            <v>100</v>
          </cell>
          <cell r="P891">
            <v>100</v>
          </cell>
          <cell r="Q891" t="str">
            <v xml:space="preserve">LASER 30/07 </v>
          </cell>
          <cell r="S891">
            <v>44067</v>
          </cell>
          <cell r="T891">
            <v>7</v>
          </cell>
        </row>
        <row r="892">
          <cell r="A892">
            <v>202613117</v>
          </cell>
          <cell r="B892" t="str">
            <v>65.116.01032-9</v>
          </cell>
          <cell r="C892" t="str">
            <v xml:space="preserve">SUP SENS ARRANC DIP BB C/ ASKM ROHS                 REV-00  </v>
          </cell>
          <cell r="D892" t="str">
            <v/>
          </cell>
          <cell r="E892" t="str">
            <v>KION IND E COM LT</v>
          </cell>
          <cell r="F892">
            <v>401</v>
          </cell>
          <cell r="G892">
            <v>44025</v>
          </cell>
          <cell r="H892">
            <v>668725</v>
          </cell>
          <cell r="I892" t="str">
            <v>K</v>
          </cell>
          <cell r="J892">
            <v>-21</v>
          </cell>
          <cell r="K892">
            <v>100</v>
          </cell>
          <cell r="L892">
            <v>100</v>
          </cell>
          <cell r="P892">
            <v>100</v>
          </cell>
          <cell r="Q892" t="str">
            <v xml:space="preserve">LASER 30/07 </v>
          </cell>
          <cell r="S892">
            <v>44074</v>
          </cell>
          <cell r="T892">
            <v>8</v>
          </cell>
        </row>
        <row r="893">
          <cell r="A893">
            <v>202613118</v>
          </cell>
          <cell r="B893" t="str">
            <v>65.116.01032-9</v>
          </cell>
          <cell r="C893" t="str">
            <v xml:space="preserve">SUP SENS ARRANC DIP BB C/ ASKM ROHS                 REV-00  </v>
          </cell>
          <cell r="D893" t="str">
            <v/>
          </cell>
          <cell r="E893" t="str">
            <v>KION IND E COM LT</v>
          </cell>
          <cell r="F893">
            <v>401</v>
          </cell>
          <cell r="G893">
            <v>44025</v>
          </cell>
          <cell r="H893">
            <v>668725</v>
          </cell>
          <cell r="I893" t="str">
            <v>K</v>
          </cell>
          <cell r="J893">
            <v>-21</v>
          </cell>
          <cell r="K893">
            <v>100</v>
          </cell>
          <cell r="L893">
            <v>100</v>
          </cell>
          <cell r="P893">
            <v>100</v>
          </cell>
          <cell r="Q893" t="str">
            <v xml:space="preserve">LASER 30/07 </v>
          </cell>
          <cell r="S893">
            <v>44081</v>
          </cell>
          <cell r="T893">
            <v>9</v>
          </cell>
        </row>
        <row r="894">
          <cell r="A894">
            <v>202613115</v>
          </cell>
          <cell r="B894" t="str">
            <v>65.116.01032-9</v>
          </cell>
          <cell r="C894" t="str">
            <v xml:space="preserve">SUP SENS ARRANC DIP BB C/ ASKM ROHS                 REV-00  </v>
          </cell>
          <cell r="D894" t="str">
            <v/>
          </cell>
          <cell r="E894" t="str">
            <v>KION IND E COM LT</v>
          </cell>
          <cell r="F894">
            <v>401</v>
          </cell>
          <cell r="G894">
            <v>44025</v>
          </cell>
          <cell r="H894">
            <v>668725</v>
          </cell>
          <cell r="I894" t="str">
            <v>K</v>
          </cell>
          <cell r="J894">
            <v>-21</v>
          </cell>
          <cell r="K894">
            <v>100</v>
          </cell>
          <cell r="L894">
            <v>100</v>
          </cell>
          <cell r="P894">
            <v>100</v>
          </cell>
          <cell r="Q894" t="str">
            <v>material em pintura - previsão de entrega até 07/08</v>
          </cell>
          <cell r="R894" t="str">
            <v>06/08 - B</v>
          </cell>
          <cell r="S894">
            <v>44053</v>
          </cell>
          <cell r="T894">
            <v>5</v>
          </cell>
        </row>
        <row r="895">
          <cell r="A895">
            <v>943221001</v>
          </cell>
          <cell r="B895" t="str">
            <v>65.116.01039-8</v>
          </cell>
          <cell r="C895" t="str">
            <v xml:space="preserve">SUPTE FIX LEITOR BIOM ROHS                          REV-00  </v>
          </cell>
          <cell r="D895" t="str">
            <v/>
          </cell>
          <cell r="E895" t="str">
            <v>KION IND E COM LT</v>
          </cell>
          <cell r="F895">
            <v>401</v>
          </cell>
          <cell r="G895">
            <v>43465</v>
          </cell>
          <cell r="H895">
            <v>370057</v>
          </cell>
          <cell r="J895">
            <v>-581</v>
          </cell>
          <cell r="K895">
            <v>150</v>
          </cell>
          <cell r="L895">
            <v>1</v>
          </cell>
          <cell r="P895">
            <v>1</v>
          </cell>
          <cell r="Q895" t="str">
            <v>Est ok (149p) - 3W 14/01</v>
          </cell>
          <cell r="S895" t="str">
            <v>DF</v>
          </cell>
          <cell r="T895" t="str">
            <v>DF</v>
          </cell>
        </row>
        <row r="896">
          <cell r="A896">
            <v>974382001</v>
          </cell>
          <cell r="B896" t="str">
            <v>65.116.01080-0</v>
          </cell>
          <cell r="C896" t="str">
            <v xml:space="preserve">CHAPA FIX VISOR CAM CENTRAL ROHS                    REV-03  </v>
          </cell>
          <cell r="D896" t="str">
            <v/>
          </cell>
          <cell r="E896" t="str">
            <v>KION IND E COM LT</v>
          </cell>
          <cell r="F896">
            <v>401</v>
          </cell>
          <cell r="G896">
            <v>44039</v>
          </cell>
          <cell r="H896">
            <v>375976</v>
          </cell>
          <cell r="J896">
            <v>-7</v>
          </cell>
          <cell r="K896">
            <v>100</v>
          </cell>
          <cell r="L896">
            <v>100</v>
          </cell>
          <cell r="P896">
            <v>100</v>
          </cell>
          <cell r="Q896" t="str">
            <v/>
          </cell>
          <cell r="S896" t="str">
            <v>DF</v>
          </cell>
          <cell r="T896" t="str">
            <v>DF</v>
          </cell>
        </row>
        <row r="897">
          <cell r="A897">
            <v>979223001</v>
          </cell>
          <cell r="B897" t="str">
            <v>65.116.01080-0</v>
          </cell>
          <cell r="C897" t="str">
            <v xml:space="preserve">CHAPA FIX VISOR CAM CENTRAL ROHS                    REV-03  </v>
          </cell>
          <cell r="D897" t="str">
            <v/>
          </cell>
          <cell r="E897" t="str">
            <v>KION IND E COM LT</v>
          </cell>
          <cell r="F897">
            <v>401</v>
          </cell>
          <cell r="G897">
            <v>44088</v>
          </cell>
          <cell r="H897">
            <v>376920</v>
          </cell>
          <cell r="J897">
            <v>42</v>
          </cell>
          <cell r="K897">
            <v>90</v>
          </cell>
          <cell r="L897">
            <v>90</v>
          </cell>
          <cell r="P897">
            <v>90</v>
          </cell>
          <cell r="Q897" t="str">
            <v/>
          </cell>
          <cell r="S897" t="str">
            <v>DF</v>
          </cell>
          <cell r="T897" t="str">
            <v>DF</v>
          </cell>
        </row>
        <row r="898">
          <cell r="A898">
            <v>982093591</v>
          </cell>
          <cell r="B898" t="str">
            <v>65.116.01087-9</v>
          </cell>
          <cell r="C898" t="str">
            <v>GUIA SUP BOCAL DEP PENTASIS ROHS                    REV-02</v>
          </cell>
          <cell r="D898" t="str">
            <v/>
          </cell>
          <cell r="E898" t="str">
            <v>KION IND E COM LT</v>
          </cell>
          <cell r="F898">
            <v>401</v>
          </cell>
          <cell r="G898">
            <v>44137</v>
          </cell>
          <cell r="H898">
            <v>378015</v>
          </cell>
          <cell r="J898">
            <v>91</v>
          </cell>
          <cell r="K898">
            <v>60</v>
          </cell>
          <cell r="L898">
            <v>60</v>
          </cell>
          <cell r="P898">
            <v>60</v>
          </cell>
          <cell r="Q898" t="str">
            <v/>
          </cell>
          <cell r="S898" t="str">
            <v>DF</v>
          </cell>
          <cell r="T898" t="str">
            <v>DF</v>
          </cell>
        </row>
        <row r="899">
          <cell r="A899">
            <v>979190001</v>
          </cell>
          <cell r="B899" t="str">
            <v>65.116.01088-6</v>
          </cell>
          <cell r="C899" t="str">
            <v>GUIA INF BOCAL DEP PENTASIS ROHS                    REV-03</v>
          </cell>
          <cell r="D899" t="str">
            <v/>
          </cell>
          <cell r="E899" t="str">
            <v>KION IND E COM LT</v>
          </cell>
          <cell r="F899">
            <v>401</v>
          </cell>
          <cell r="G899">
            <v>44088</v>
          </cell>
          <cell r="H899">
            <v>376920</v>
          </cell>
          <cell r="J899">
            <v>42</v>
          </cell>
          <cell r="K899">
            <v>80</v>
          </cell>
          <cell r="L899">
            <v>80</v>
          </cell>
          <cell r="P899">
            <v>80</v>
          </cell>
          <cell r="Q899" t="str">
            <v/>
          </cell>
          <cell r="S899" t="str">
            <v>DF</v>
          </cell>
          <cell r="T899" t="str">
            <v>DF</v>
          </cell>
        </row>
        <row r="900">
          <cell r="A900">
            <v>982093601</v>
          </cell>
          <cell r="B900" t="str">
            <v>65.116.01088-6</v>
          </cell>
          <cell r="C900" t="str">
            <v>GUIA INF BOCAL DEP PENTASIS ROHS                    REV-03</v>
          </cell>
          <cell r="D900" t="str">
            <v/>
          </cell>
          <cell r="E900" t="str">
            <v>KION IND E COM LT</v>
          </cell>
          <cell r="F900">
            <v>401</v>
          </cell>
          <cell r="G900">
            <v>44137</v>
          </cell>
          <cell r="H900">
            <v>378015</v>
          </cell>
          <cell r="J900">
            <v>91</v>
          </cell>
          <cell r="K900">
            <v>60</v>
          </cell>
          <cell r="L900">
            <v>60</v>
          </cell>
          <cell r="P900">
            <v>60</v>
          </cell>
          <cell r="Q900" t="str">
            <v/>
          </cell>
          <cell r="S900" t="str">
            <v>DF</v>
          </cell>
          <cell r="T900" t="str">
            <v>DF</v>
          </cell>
        </row>
        <row r="901">
          <cell r="A901">
            <v>982093611</v>
          </cell>
          <cell r="B901" t="str">
            <v>65.116.01089-3</v>
          </cell>
          <cell r="C901" t="str">
            <v>SUP SENS POSIC DEP ROHS                             REV-00</v>
          </cell>
          <cell r="D901" t="str">
            <v/>
          </cell>
          <cell r="E901" t="str">
            <v>KION IND E COM LT</v>
          </cell>
          <cell r="F901">
            <v>401</v>
          </cell>
          <cell r="G901">
            <v>44137</v>
          </cell>
          <cell r="H901">
            <v>378015</v>
          </cell>
          <cell r="J901">
            <v>91</v>
          </cell>
          <cell r="K901">
            <v>60</v>
          </cell>
          <cell r="L901">
            <v>60</v>
          </cell>
          <cell r="P901">
            <v>60</v>
          </cell>
          <cell r="Q901" t="str">
            <v/>
          </cell>
          <cell r="S901" t="str">
            <v>DF</v>
          </cell>
          <cell r="T901" t="str">
            <v>DF</v>
          </cell>
        </row>
        <row r="902">
          <cell r="A902">
            <v>202614119</v>
          </cell>
          <cell r="B902" t="str">
            <v>65.116.01110-0</v>
          </cell>
          <cell r="C902" t="str">
            <v xml:space="preserve">CHAPA INF FIX TEC EPP1217 ROHS                      REV-01  </v>
          </cell>
          <cell r="D902" t="str">
            <v/>
          </cell>
          <cell r="E902" t="str">
            <v>KION IND E COM LT</v>
          </cell>
          <cell r="F902">
            <v>401</v>
          </cell>
          <cell r="G902">
            <v>44025</v>
          </cell>
          <cell r="H902">
            <v>668725</v>
          </cell>
          <cell r="I902" t="str">
            <v>K</v>
          </cell>
          <cell r="J902">
            <v>-21</v>
          </cell>
          <cell r="K902">
            <v>100</v>
          </cell>
          <cell r="L902">
            <v>100</v>
          </cell>
          <cell r="P902">
            <v>100</v>
          </cell>
          <cell r="Q902" t="str">
            <v xml:space="preserve">LASER 30/07 </v>
          </cell>
          <cell r="S902">
            <v>44074</v>
          </cell>
          <cell r="T902">
            <v>8</v>
          </cell>
        </row>
        <row r="903">
          <cell r="A903">
            <v>202614120</v>
          </cell>
          <cell r="B903" t="str">
            <v>65.116.01110-0</v>
          </cell>
          <cell r="C903" t="str">
            <v xml:space="preserve">CHAPA INF FIX TEC EPP1217 ROHS                      REV-01  </v>
          </cell>
          <cell r="D903" t="str">
            <v/>
          </cell>
          <cell r="E903" t="str">
            <v>KION IND E COM LT</v>
          </cell>
          <cell r="F903">
            <v>401</v>
          </cell>
          <cell r="G903">
            <v>44025</v>
          </cell>
          <cell r="H903">
            <v>668725</v>
          </cell>
          <cell r="I903" t="str">
            <v>K</v>
          </cell>
          <cell r="J903">
            <v>-21</v>
          </cell>
          <cell r="K903">
            <v>100</v>
          </cell>
          <cell r="L903">
            <v>100</v>
          </cell>
          <cell r="P903">
            <v>100</v>
          </cell>
          <cell r="Q903" t="str">
            <v xml:space="preserve">LASER 30/07 </v>
          </cell>
          <cell r="S903">
            <v>44081</v>
          </cell>
          <cell r="T903">
            <v>9</v>
          </cell>
        </row>
        <row r="904">
          <cell r="A904">
            <v>202614121</v>
          </cell>
          <cell r="B904" t="str">
            <v>65.116.01110-0</v>
          </cell>
          <cell r="C904" t="str">
            <v xml:space="preserve">CHAPA INF FIX TEC EPP1217 ROHS                      REV-01  </v>
          </cell>
          <cell r="D904" t="str">
            <v/>
          </cell>
          <cell r="E904" t="str">
            <v>KION IND E COM LT</v>
          </cell>
          <cell r="F904">
            <v>401</v>
          </cell>
          <cell r="G904">
            <v>44025</v>
          </cell>
          <cell r="H904">
            <v>668725</v>
          </cell>
          <cell r="I904" t="str">
            <v>K</v>
          </cell>
          <cell r="J904">
            <v>-21</v>
          </cell>
          <cell r="K904">
            <v>100</v>
          </cell>
          <cell r="L904">
            <v>100</v>
          </cell>
          <cell r="P904">
            <v>100</v>
          </cell>
          <cell r="Q904" t="str">
            <v xml:space="preserve">LASER 30/07 </v>
          </cell>
          <cell r="S904">
            <v>44081</v>
          </cell>
          <cell r="T904">
            <v>9</v>
          </cell>
        </row>
        <row r="905">
          <cell r="A905">
            <v>982075221</v>
          </cell>
          <cell r="B905" t="str">
            <v>65.116.01235-6</v>
          </cell>
          <cell r="C905" t="str">
            <v xml:space="preserve">CHAPA PROT VISOR CAMERA ROHS                        REV-01  </v>
          </cell>
          <cell r="D905" t="str">
            <v/>
          </cell>
          <cell r="E905" t="str">
            <v>KION IND E COM LT</v>
          </cell>
          <cell r="F905">
            <v>401</v>
          </cell>
          <cell r="G905">
            <v>44067</v>
          </cell>
          <cell r="H905">
            <v>377860</v>
          </cell>
          <cell r="J905">
            <v>21</v>
          </cell>
          <cell r="K905">
            <v>300</v>
          </cell>
          <cell r="L905">
            <v>300</v>
          </cell>
          <cell r="P905">
            <v>300</v>
          </cell>
          <cell r="Q905" t="str">
            <v/>
          </cell>
          <cell r="S905">
            <v>44067</v>
          </cell>
          <cell r="T905">
            <v>7</v>
          </cell>
        </row>
        <row r="906">
          <cell r="A906">
            <v>982075222</v>
          </cell>
          <cell r="B906" t="str">
            <v>65.116.01235-6</v>
          </cell>
          <cell r="C906" t="str">
            <v xml:space="preserve">CHAPA PROT VISOR CAMERA ROHS                        REV-01  </v>
          </cell>
          <cell r="D906" t="str">
            <v/>
          </cell>
          <cell r="E906" t="str">
            <v>KION IND E COM LT</v>
          </cell>
          <cell r="F906">
            <v>401</v>
          </cell>
          <cell r="G906">
            <v>44095</v>
          </cell>
          <cell r="H906">
            <v>377860</v>
          </cell>
          <cell r="J906">
            <v>49</v>
          </cell>
          <cell r="K906">
            <v>150</v>
          </cell>
          <cell r="L906">
            <v>150</v>
          </cell>
          <cell r="P906">
            <v>150</v>
          </cell>
          <cell r="Q906" t="str">
            <v/>
          </cell>
          <cell r="S906">
            <v>44088</v>
          </cell>
          <cell r="T906">
            <v>10</v>
          </cell>
        </row>
        <row r="907">
          <cell r="A907">
            <v>982075223</v>
          </cell>
          <cell r="B907" t="str">
            <v>65.116.01235-6</v>
          </cell>
          <cell r="C907" t="str">
            <v xml:space="preserve">CHAPA PROT VISOR CAMERA ROHS                        REV-01  </v>
          </cell>
          <cell r="D907" t="str">
            <v/>
          </cell>
          <cell r="E907" t="str">
            <v>KION IND E COM LT</v>
          </cell>
          <cell r="F907">
            <v>401</v>
          </cell>
          <cell r="G907">
            <v>44123</v>
          </cell>
          <cell r="H907">
            <v>377860</v>
          </cell>
          <cell r="J907">
            <v>77</v>
          </cell>
          <cell r="K907">
            <v>200</v>
          </cell>
          <cell r="L907">
            <v>200</v>
          </cell>
          <cell r="P907">
            <v>200</v>
          </cell>
          <cell r="Q907" t="str">
            <v/>
          </cell>
          <cell r="S907">
            <v>44109</v>
          </cell>
          <cell r="T907">
            <v>13</v>
          </cell>
        </row>
        <row r="908">
          <cell r="A908">
            <v>978760002</v>
          </cell>
          <cell r="B908" t="str">
            <v>65.116.01236-3</v>
          </cell>
          <cell r="C908" t="str">
            <v xml:space="preserve">PROTECAO CABOS RECYCLING RM4                        REV-00  </v>
          </cell>
          <cell r="D908" t="str">
            <v/>
          </cell>
          <cell r="E908" t="str">
            <v>KION IND E COM LT</v>
          </cell>
          <cell r="F908">
            <v>401</v>
          </cell>
          <cell r="G908">
            <v>44046</v>
          </cell>
          <cell r="H908">
            <v>376920</v>
          </cell>
          <cell r="J908">
            <v>0</v>
          </cell>
          <cell r="K908">
            <v>1200</v>
          </cell>
          <cell r="L908">
            <v>1200</v>
          </cell>
          <cell r="P908">
            <v>1200</v>
          </cell>
          <cell r="Q908" t="str">
            <v>OP 22/07 - JH</v>
          </cell>
          <cell r="S908">
            <v>44074</v>
          </cell>
          <cell r="T908">
            <v>8</v>
          </cell>
        </row>
        <row r="909">
          <cell r="A909">
            <v>982069032</v>
          </cell>
          <cell r="B909" t="str">
            <v>65.116.01236-3</v>
          </cell>
          <cell r="C909" t="str">
            <v xml:space="preserve">PROTECAO CABOS RECYCLING RM4                        REV-00  </v>
          </cell>
          <cell r="D909" t="str">
            <v/>
          </cell>
          <cell r="E909" t="str">
            <v>KION IND E COM LT</v>
          </cell>
          <cell r="F909">
            <v>401</v>
          </cell>
          <cell r="G909">
            <v>44067</v>
          </cell>
          <cell r="H909">
            <v>377859</v>
          </cell>
          <cell r="J909">
            <v>21</v>
          </cell>
          <cell r="K909">
            <v>1700</v>
          </cell>
          <cell r="L909">
            <v>1700</v>
          </cell>
          <cell r="P909">
            <v>1700</v>
          </cell>
          <cell r="Q909" t="str">
            <v/>
          </cell>
          <cell r="S909">
            <v>44088</v>
          </cell>
          <cell r="T909">
            <v>10</v>
          </cell>
        </row>
        <row r="910">
          <cell r="A910">
            <v>982069033</v>
          </cell>
          <cell r="B910" t="str">
            <v>65.116.01236-3</v>
          </cell>
          <cell r="C910" t="str">
            <v xml:space="preserve">PROTECAO CABOS RECYCLING RM4                        REV-00  </v>
          </cell>
          <cell r="D910" t="str">
            <v/>
          </cell>
          <cell r="E910" t="str">
            <v>KION IND E COM LT</v>
          </cell>
          <cell r="F910">
            <v>401</v>
          </cell>
          <cell r="G910">
            <v>44095</v>
          </cell>
          <cell r="H910">
            <v>377859</v>
          </cell>
          <cell r="J910">
            <v>49</v>
          </cell>
          <cell r="K910">
            <v>2000</v>
          </cell>
          <cell r="L910">
            <v>2000</v>
          </cell>
          <cell r="P910">
            <v>2000</v>
          </cell>
          <cell r="Q910" t="str">
            <v/>
          </cell>
          <cell r="S910">
            <v>44095</v>
          </cell>
          <cell r="T910">
            <v>11</v>
          </cell>
        </row>
        <row r="911">
          <cell r="A911">
            <v>982069034</v>
          </cell>
          <cell r="B911" t="str">
            <v>65.116.01236-3</v>
          </cell>
          <cell r="C911" t="str">
            <v xml:space="preserve">PROTECAO CABOS RECYCLING RM4                        REV-00  </v>
          </cell>
          <cell r="D911" t="str">
            <v/>
          </cell>
          <cell r="E911" t="str">
            <v>KION IND E COM LT</v>
          </cell>
          <cell r="F911">
            <v>401</v>
          </cell>
          <cell r="G911">
            <v>44130</v>
          </cell>
          <cell r="H911">
            <v>377859</v>
          </cell>
          <cell r="J911">
            <v>84</v>
          </cell>
          <cell r="K911">
            <v>75</v>
          </cell>
          <cell r="L911">
            <v>75</v>
          </cell>
          <cell r="P911">
            <v>75</v>
          </cell>
          <cell r="Q911" t="str">
            <v/>
          </cell>
          <cell r="S911" t="str">
            <v>DF</v>
          </cell>
          <cell r="T911" t="str">
            <v>DF</v>
          </cell>
        </row>
        <row r="912">
          <cell r="A912">
            <v>982089341</v>
          </cell>
          <cell r="B912" t="str">
            <v>65.116.01236-3</v>
          </cell>
          <cell r="C912" t="str">
            <v xml:space="preserve">PROTECAO CABOS RECYCLING RM4                        REV-00  </v>
          </cell>
          <cell r="D912" t="str">
            <v/>
          </cell>
          <cell r="E912" t="str">
            <v>KION IND E COM LT</v>
          </cell>
          <cell r="F912">
            <v>401</v>
          </cell>
          <cell r="G912">
            <v>44130</v>
          </cell>
          <cell r="H912">
            <v>377860</v>
          </cell>
          <cell r="J912">
            <v>84</v>
          </cell>
          <cell r="K912">
            <v>450</v>
          </cell>
          <cell r="L912">
            <v>450</v>
          </cell>
          <cell r="P912">
            <v>450</v>
          </cell>
          <cell r="Q912" t="str">
            <v/>
          </cell>
          <cell r="S912" t="str">
            <v>DF</v>
          </cell>
          <cell r="T912" t="str">
            <v>DF</v>
          </cell>
        </row>
        <row r="913">
          <cell r="A913">
            <v>982089311</v>
          </cell>
          <cell r="B913" t="str">
            <v>65.111.08632-9</v>
          </cell>
          <cell r="C913" t="str">
            <v xml:space="preserve">TAMPA FECHAM SAIDA CABOS ROHS                       REV-00  </v>
          </cell>
          <cell r="D913" t="str">
            <v/>
          </cell>
          <cell r="E913" t="str">
            <v>KION IND E COM LT</v>
          </cell>
          <cell r="F913">
            <v>401</v>
          </cell>
          <cell r="G913">
            <v>44074</v>
          </cell>
          <cell r="H913">
            <v>377860</v>
          </cell>
          <cell r="J913">
            <v>0</v>
          </cell>
          <cell r="K913">
            <v>110</v>
          </cell>
          <cell r="L913">
            <v>110</v>
          </cell>
          <cell r="N913">
            <v>110</v>
          </cell>
          <cell r="P913">
            <v>0</v>
          </cell>
          <cell r="Q913" t="str">
            <v>Trat. 30/07 - 132p - ZF</v>
          </cell>
          <cell r="T913" t="str">
            <v>DF</v>
          </cell>
        </row>
        <row r="914">
          <cell r="A914">
            <v>978760001</v>
          </cell>
          <cell r="B914" t="str">
            <v>65.116.01236-3</v>
          </cell>
          <cell r="C914" t="str">
            <v xml:space="preserve">PROTECAO CABOS RECYCLING RM4                        REV-00  </v>
          </cell>
          <cell r="D914" t="str">
            <v/>
          </cell>
          <cell r="E914" t="str">
            <v>KION IND E COM LT</v>
          </cell>
          <cell r="F914">
            <v>401</v>
          </cell>
          <cell r="G914">
            <v>44018</v>
          </cell>
          <cell r="H914">
            <v>376920</v>
          </cell>
          <cell r="J914">
            <v>-28</v>
          </cell>
          <cell r="K914">
            <v>1200</v>
          </cell>
          <cell r="L914">
            <v>900</v>
          </cell>
          <cell r="M914">
            <v>600</v>
          </cell>
          <cell r="P914">
            <v>300</v>
          </cell>
          <cell r="Q914" t="str">
            <v>EST OK</v>
          </cell>
          <cell r="S914">
            <v>44053</v>
          </cell>
          <cell r="T914">
            <v>5</v>
          </cell>
        </row>
        <row r="915">
          <cell r="A915">
            <v>982069031</v>
          </cell>
          <cell r="B915" t="str">
            <v>65.116.01236-3</v>
          </cell>
          <cell r="C915" t="str">
            <v xml:space="preserve">PROTECAO CABOS RECYCLING RM4                        REV-00  </v>
          </cell>
          <cell r="D915" t="str">
            <v/>
          </cell>
          <cell r="E915" t="str">
            <v>KION IND E COM LT</v>
          </cell>
          <cell r="F915">
            <v>401</v>
          </cell>
          <cell r="G915">
            <v>44039</v>
          </cell>
          <cell r="H915">
            <v>377859</v>
          </cell>
          <cell r="J915">
            <v>-7</v>
          </cell>
          <cell r="K915">
            <v>2390</v>
          </cell>
          <cell r="L915">
            <v>2390</v>
          </cell>
          <cell r="M915">
            <v>285</v>
          </cell>
          <cell r="N915">
            <v>300</v>
          </cell>
          <cell r="P915">
            <v>1805</v>
          </cell>
          <cell r="Q915" t="str">
            <v>material em pintura - previsão de entrega até 07/08</v>
          </cell>
          <cell r="R915" t="str">
            <v>07/08 - A</v>
          </cell>
          <cell r="S915">
            <v>44053</v>
          </cell>
          <cell r="T915">
            <v>5</v>
          </cell>
        </row>
        <row r="916">
          <cell r="A916">
            <v>974391001</v>
          </cell>
          <cell r="B916" t="str">
            <v>65.116.01237-0</v>
          </cell>
          <cell r="C916" t="str">
            <v>PROT CABO FLAT LAT TOUCH PCAP ROHS                  REV-00</v>
          </cell>
          <cell r="D916" t="str">
            <v/>
          </cell>
          <cell r="E916" t="str">
            <v>KION IND E COM LT</v>
          </cell>
          <cell r="F916">
            <v>401</v>
          </cell>
          <cell r="G916">
            <v>44039</v>
          </cell>
          <cell r="H916">
            <v>375976</v>
          </cell>
          <cell r="J916">
            <v>-7</v>
          </cell>
          <cell r="K916">
            <v>100</v>
          </cell>
          <cell r="L916">
            <v>100</v>
          </cell>
          <cell r="P916">
            <v>100</v>
          </cell>
          <cell r="Q916" t="str">
            <v xml:space="preserve">OP 29/07 - FM </v>
          </cell>
          <cell r="S916">
            <v>44067</v>
          </cell>
          <cell r="T916">
            <v>7</v>
          </cell>
        </row>
        <row r="917">
          <cell r="A917">
            <v>978810003</v>
          </cell>
          <cell r="B917" t="str">
            <v>65.116.01237-0</v>
          </cell>
          <cell r="C917" t="str">
            <v>PROT CABO FLAT LAT TOUCH PCAP ROHS                  REV-00</v>
          </cell>
          <cell r="D917" t="str">
            <v/>
          </cell>
          <cell r="E917" t="str">
            <v>KION IND E COM LT</v>
          </cell>
          <cell r="F917">
            <v>401</v>
          </cell>
          <cell r="G917">
            <v>44046</v>
          </cell>
          <cell r="H917">
            <v>376920</v>
          </cell>
          <cell r="J917">
            <v>0</v>
          </cell>
          <cell r="K917">
            <v>150</v>
          </cell>
          <cell r="L917">
            <v>150</v>
          </cell>
          <cell r="P917">
            <v>150</v>
          </cell>
          <cell r="Q917" t="str">
            <v xml:space="preserve">OP 29/07 - FM </v>
          </cell>
          <cell r="S917">
            <v>44067</v>
          </cell>
          <cell r="T917">
            <v>7</v>
          </cell>
        </row>
        <row r="918">
          <cell r="A918">
            <v>978810004</v>
          </cell>
          <cell r="B918" t="str">
            <v>65.116.01237-0</v>
          </cell>
          <cell r="C918" t="str">
            <v>PROT CABO FLAT LAT TOUCH PCAP ROHS                  REV-00</v>
          </cell>
          <cell r="D918" t="str">
            <v/>
          </cell>
          <cell r="E918" t="str">
            <v>KION IND E COM LT</v>
          </cell>
          <cell r="F918">
            <v>401</v>
          </cell>
          <cell r="G918">
            <v>44060</v>
          </cell>
          <cell r="H918">
            <v>376920</v>
          </cell>
          <cell r="J918">
            <v>14</v>
          </cell>
          <cell r="K918">
            <v>150</v>
          </cell>
          <cell r="L918">
            <v>150</v>
          </cell>
          <cell r="P918">
            <v>150</v>
          </cell>
          <cell r="Q918" t="str">
            <v xml:space="preserve">OP 29/07 - FM </v>
          </cell>
          <cell r="S918">
            <v>44074</v>
          </cell>
          <cell r="T918">
            <v>8</v>
          </cell>
        </row>
        <row r="919">
          <cell r="A919">
            <v>982074911</v>
          </cell>
          <cell r="B919" t="str">
            <v>65.116.01237-0</v>
          </cell>
          <cell r="C919" t="str">
            <v>PROT CABO FLAT LAT TOUCH PCAP ROHS                  REV-00</v>
          </cell>
          <cell r="D919" t="str">
            <v/>
          </cell>
          <cell r="E919" t="str">
            <v>KION IND E COM LT</v>
          </cell>
          <cell r="F919">
            <v>401</v>
          </cell>
          <cell r="G919">
            <v>44067</v>
          </cell>
          <cell r="H919">
            <v>377860</v>
          </cell>
          <cell r="J919">
            <v>21</v>
          </cell>
          <cell r="K919">
            <v>300</v>
          </cell>
          <cell r="L919">
            <v>300</v>
          </cell>
          <cell r="P919">
            <v>300</v>
          </cell>
          <cell r="Q919" t="str">
            <v xml:space="preserve">OP 29/07 - FM </v>
          </cell>
          <cell r="S919">
            <v>44081</v>
          </cell>
          <cell r="T919">
            <v>9</v>
          </cell>
        </row>
        <row r="920">
          <cell r="A920">
            <v>982074912</v>
          </cell>
          <cell r="B920" t="str">
            <v>65.116.01237-0</v>
          </cell>
          <cell r="C920" t="str">
            <v>PROT CABO FLAT LAT TOUCH PCAP ROHS                  REV-00</v>
          </cell>
          <cell r="D920" t="str">
            <v/>
          </cell>
          <cell r="E920" t="str">
            <v>KION IND E COM LT</v>
          </cell>
          <cell r="F920">
            <v>401</v>
          </cell>
          <cell r="G920">
            <v>44088</v>
          </cell>
          <cell r="H920">
            <v>377860</v>
          </cell>
          <cell r="J920">
            <v>42</v>
          </cell>
          <cell r="K920">
            <v>300</v>
          </cell>
          <cell r="L920">
            <v>300</v>
          </cell>
          <cell r="P920">
            <v>300</v>
          </cell>
          <cell r="Q920" t="str">
            <v/>
          </cell>
          <cell r="S920">
            <v>44081</v>
          </cell>
          <cell r="T920">
            <v>9</v>
          </cell>
        </row>
        <row r="921">
          <cell r="A921">
            <v>982074913</v>
          </cell>
          <cell r="B921" t="str">
            <v>65.116.01237-0</v>
          </cell>
          <cell r="C921" t="str">
            <v>PROT CABO FLAT LAT TOUCH PCAP ROHS                  REV-00</v>
          </cell>
          <cell r="D921" t="str">
            <v/>
          </cell>
          <cell r="E921" t="str">
            <v>KION IND E COM LT</v>
          </cell>
          <cell r="F921">
            <v>401</v>
          </cell>
          <cell r="G921">
            <v>44102</v>
          </cell>
          <cell r="H921">
            <v>377860</v>
          </cell>
          <cell r="J921">
            <v>56</v>
          </cell>
          <cell r="K921">
            <v>300</v>
          </cell>
          <cell r="L921">
            <v>300</v>
          </cell>
          <cell r="P921">
            <v>300</v>
          </cell>
          <cell r="Q921" t="str">
            <v/>
          </cell>
          <cell r="S921">
            <v>44095</v>
          </cell>
          <cell r="T921">
            <v>11</v>
          </cell>
        </row>
        <row r="922">
          <cell r="A922">
            <v>982086551</v>
          </cell>
          <cell r="B922" t="str">
            <v>65.113.00236-5</v>
          </cell>
          <cell r="C922" t="str">
            <v xml:space="preserve">SUP DA MOLA                                         REV-02  </v>
          </cell>
          <cell r="D922" t="str">
            <v>65.612.00053-2</v>
          </cell>
          <cell r="E922" t="str">
            <v>KION IND E COM LT</v>
          </cell>
          <cell r="F922">
            <v>401</v>
          </cell>
          <cell r="G922">
            <v>44025</v>
          </cell>
          <cell r="H922">
            <v>377860</v>
          </cell>
          <cell r="J922">
            <v>0</v>
          </cell>
          <cell r="K922">
            <v>30</v>
          </cell>
          <cell r="L922">
            <v>30</v>
          </cell>
          <cell r="N922">
            <v>30</v>
          </cell>
          <cell r="P922">
            <v>0</v>
          </cell>
          <cell r="Q922" t="str">
            <v>Trat. 30/07 - 16p - ZF</v>
          </cell>
          <cell r="T922" t="str">
            <v>DF</v>
          </cell>
        </row>
        <row r="923">
          <cell r="A923">
            <v>982074914</v>
          </cell>
          <cell r="B923" t="str">
            <v>65.116.01237-0</v>
          </cell>
          <cell r="C923" t="str">
            <v>PROT CABO FLAT LAT TOUCH PCAP ROHS                  REV-00</v>
          </cell>
          <cell r="D923" t="str">
            <v/>
          </cell>
          <cell r="E923" t="str">
            <v>KION IND E COM LT</v>
          </cell>
          <cell r="F923">
            <v>401</v>
          </cell>
          <cell r="G923">
            <v>44116</v>
          </cell>
          <cell r="H923">
            <v>377860</v>
          </cell>
          <cell r="J923">
            <v>70</v>
          </cell>
          <cell r="K923">
            <v>300</v>
          </cell>
          <cell r="L923">
            <v>300</v>
          </cell>
          <cell r="P923">
            <v>300</v>
          </cell>
          <cell r="Q923" t="str">
            <v/>
          </cell>
          <cell r="S923" t="str">
            <v>DF</v>
          </cell>
          <cell r="T923" t="str">
            <v>DF</v>
          </cell>
        </row>
        <row r="924">
          <cell r="A924">
            <v>982074915</v>
          </cell>
          <cell r="B924" t="str">
            <v>65.116.01237-0</v>
          </cell>
          <cell r="C924" t="str">
            <v>PROT CABO FLAT LAT TOUCH PCAP ROHS                  REV-00</v>
          </cell>
          <cell r="D924" t="str">
            <v/>
          </cell>
          <cell r="E924" t="str">
            <v>KION IND E COM LT</v>
          </cell>
          <cell r="F924">
            <v>401</v>
          </cell>
          <cell r="G924">
            <v>44130</v>
          </cell>
          <cell r="H924">
            <v>377860</v>
          </cell>
          <cell r="J924">
            <v>84</v>
          </cell>
          <cell r="K924">
            <v>130</v>
          </cell>
          <cell r="L924">
            <v>130</v>
          </cell>
          <cell r="P924">
            <v>130</v>
          </cell>
          <cell r="Q924" t="str">
            <v/>
          </cell>
          <cell r="S924" t="str">
            <v>DF</v>
          </cell>
          <cell r="T924" t="str">
            <v>DF</v>
          </cell>
        </row>
        <row r="925">
          <cell r="A925">
            <v>982089381</v>
          </cell>
          <cell r="B925" t="str">
            <v>65.116.01237-0</v>
          </cell>
          <cell r="C925" t="str">
            <v>PROT CABO FLAT LAT TOUCH PCAP ROHS                  REV-00</v>
          </cell>
          <cell r="D925" t="str">
            <v/>
          </cell>
          <cell r="E925" t="str">
            <v>KION IND E COM LT</v>
          </cell>
          <cell r="F925">
            <v>401</v>
          </cell>
          <cell r="G925">
            <v>44130</v>
          </cell>
          <cell r="H925">
            <v>377860</v>
          </cell>
          <cell r="J925">
            <v>84</v>
          </cell>
          <cell r="K925">
            <v>200</v>
          </cell>
          <cell r="L925">
            <v>200</v>
          </cell>
          <cell r="P925">
            <v>200</v>
          </cell>
          <cell r="Q925" t="str">
            <v/>
          </cell>
          <cell r="S925" t="str">
            <v>DF</v>
          </cell>
          <cell r="T925" t="str">
            <v>DF</v>
          </cell>
        </row>
        <row r="926">
          <cell r="A926">
            <v>974392001</v>
          </cell>
          <cell r="B926" t="str">
            <v>65.116.01238-7</v>
          </cell>
          <cell r="C926" t="str">
            <v xml:space="preserve">CHAPA PROT CONTROL TOUCH PCAP ROHS                  REV-02  </v>
          </cell>
          <cell r="D926" t="str">
            <v>29-009105-J OU 09101-D</v>
          </cell>
          <cell r="E926" t="str">
            <v>KION IND E COM LT</v>
          </cell>
          <cell r="F926">
            <v>401</v>
          </cell>
          <cell r="G926">
            <v>44039</v>
          </cell>
          <cell r="H926">
            <v>375976</v>
          </cell>
          <cell r="J926">
            <v>-7</v>
          </cell>
          <cell r="K926">
            <v>100</v>
          </cell>
          <cell r="L926">
            <v>100</v>
          </cell>
          <cell r="P926">
            <v>100</v>
          </cell>
          <cell r="Q926" t="str">
            <v xml:space="preserve">OP 29/07 - FM </v>
          </cell>
          <cell r="S926">
            <v>44067</v>
          </cell>
          <cell r="T926">
            <v>7</v>
          </cell>
        </row>
        <row r="927">
          <cell r="A927">
            <v>978811002</v>
          </cell>
          <cell r="B927" t="str">
            <v>65.116.01238-7</v>
          </cell>
          <cell r="C927" t="str">
            <v xml:space="preserve">CHAPA PROT CONTROL TOUCH PCAP ROHS                  REV-02  </v>
          </cell>
          <cell r="D927" t="str">
            <v>29-009105-J OU 09101-D</v>
          </cell>
          <cell r="E927" t="str">
            <v>KION IND E COM LT</v>
          </cell>
          <cell r="F927">
            <v>401</v>
          </cell>
          <cell r="G927">
            <v>44046</v>
          </cell>
          <cell r="H927">
            <v>376920</v>
          </cell>
          <cell r="J927">
            <v>0</v>
          </cell>
          <cell r="K927">
            <v>300</v>
          </cell>
          <cell r="L927">
            <v>300</v>
          </cell>
          <cell r="P927">
            <v>300</v>
          </cell>
          <cell r="Q927" t="str">
            <v xml:space="preserve">OP 29/07 - FM </v>
          </cell>
          <cell r="S927">
            <v>44067</v>
          </cell>
          <cell r="T927">
            <v>7</v>
          </cell>
        </row>
        <row r="928">
          <cell r="A928">
            <v>982074921</v>
          </cell>
          <cell r="B928" t="str">
            <v>65.116.01238-7</v>
          </cell>
          <cell r="C928" t="str">
            <v xml:space="preserve">CHAPA PROT CONTROL TOUCH PCAP ROHS                  REV-02  </v>
          </cell>
          <cell r="D928" t="str">
            <v>29-009105-J OU 09101-D</v>
          </cell>
          <cell r="E928" t="str">
            <v>KION IND E COM LT</v>
          </cell>
          <cell r="F928">
            <v>401</v>
          </cell>
          <cell r="G928">
            <v>44067</v>
          </cell>
          <cell r="H928">
            <v>377860</v>
          </cell>
          <cell r="J928">
            <v>21</v>
          </cell>
          <cell r="K928">
            <v>100</v>
          </cell>
          <cell r="L928">
            <v>100</v>
          </cell>
          <cell r="P928">
            <v>100</v>
          </cell>
          <cell r="Q928" t="str">
            <v xml:space="preserve">OP 29/07 - FM </v>
          </cell>
          <cell r="S928">
            <v>44081</v>
          </cell>
          <cell r="T928">
            <v>9</v>
          </cell>
        </row>
        <row r="929">
          <cell r="A929">
            <v>982074922</v>
          </cell>
          <cell r="B929" t="str">
            <v>65.116.01238-7</v>
          </cell>
          <cell r="C929" t="str">
            <v xml:space="preserve">CHAPA PROT CONTROL TOUCH PCAP ROHS                  REV-02  </v>
          </cell>
          <cell r="D929" t="str">
            <v>29-009105-J OU 09101-D</v>
          </cell>
          <cell r="E929" t="str">
            <v>KION IND E COM LT</v>
          </cell>
          <cell r="F929">
            <v>401</v>
          </cell>
          <cell r="G929">
            <v>44081</v>
          </cell>
          <cell r="H929">
            <v>377860</v>
          </cell>
          <cell r="J929">
            <v>35</v>
          </cell>
          <cell r="K929">
            <v>400</v>
          </cell>
          <cell r="L929">
            <v>400</v>
          </cell>
          <cell r="P929">
            <v>400</v>
          </cell>
          <cell r="Q929" t="str">
            <v/>
          </cell>
          <cell r="S929">
            <v>44081</v>
          </cell>
          <cell r="T929">
            <v>9</v>
          </cell>
        </row>
        <row r="930">
          <cell r="A930">
            <v>982074923</v>
          </cell>
          <cell r="B930" t="str">
            <v>65.116.01238-7</v>
          </cell>
          <cell r="C930" t="str">
            <v xml:space="preserve">CHAPA PROT CONTROL TOUCH PCAP ROHS                  REV-02  </v>
          </cell>
          <cell r="D930" t="str">
            <v>29-009105-J OU 09101-D</v>
          </cell>
          <cell r="E930" t="str">
            <v>KION IND E COM LT</v>
          </cell>
          <cell r="F930">
            <v>401</v>
          </cell>
          <cell r="G930">
            <v>44095</v>
          </cell>
          <cell r="H930">
            <v>377860</v>
          </cell>
          <cell r="J930">
            <v>49</v>
          </cell>
          <cell r="K930">
            <v>400</v>
          </cell>
          <cell r="L930">
            <v>400</v>
          </cell>
          <cell r="P930">
            <v>400</v>
          </cell>
          <cell r="Q930" t="str">
            <v/>
          </cell>
          <cell r="S930">
            <v>44088</v>
          </cell>
          <cell r="T930">
            <v>10</v>
          </cell>
        </row>
        <row r="931">
          <cell r="A931">
            <v>982074924</v>
          </cell>
          <cell r="B931" t="str">
            <v>65.116.01238-7</v>
          </cell>
          <cell r="C931" t="str">
            <v xml:space="preserve">CHAPA PROT CONTROL TOUCH PCAP ROHS                  REV-02  </v>
          </cell>
          <cell r="D931" t="str">
            <v>29-009105-J OU 09101-D</v>
          </cell>
          <cell r="E931" t="str">
            <v>KION IND E COM LT</v>
          </cell>
          <cell r="F931">
            <v>401</v>
          </cell>
          <cell r="G931">
            <v>44116</v>
          </cell>
          <cell r="H931">
            <v>377860</v>
          </cell>
          <cell r="J931">
            <v>70</v>
          </cell>
          <cell r="K931">
            <v>250</v>
          </cell>
          <cell r="L931">
            <v>250</v>
          </cell>
          <cell r="P931">
            <v>250</v>
          </cell>
          <cell r="Q931" t="str">
            <v/>
          </cell>
          <cell r="S931">
            <v>44109</v>
          </cell>
          <cell r="T931">
            <v>13</v>
          </cell>
        </row>
        <row r="932">
          <cell r="A932">
            <v>982074925</v>
          </cell>
          <cell r="B932" t="str">
            <v>65.116.01238-7</v>
          </cell>
          <cell r="C932" t="str">
            <v xml:space="preserve">CHAPA PROT CONTROL TOUCH PCAP ROHS                  REV-02  </v>
          </cell>
          <cell r="D932" t="str">
            <v>29-009105-J OU 09101-D</v>
          </cell>
          <cell r="E932" t="str">
            <v>KION IND E COM LT</v>
          </cell>
          <cell r="F932">
            <v>401</v>
          </cell>
          <cell r="G932">
            <v>44130</v>
          </cell>
          <cell r="H932">
            <v>377860</v>
          </cell>
          <cell r="J932">
            <v>84</v>
          </cell>
          <cell r="K932">
            <v>200</v>
          </cell>
          <cell r="L932">
            <v>200</v>
          </cell>
          <cell r="P932">
            <v>200</v>
          </cell>
          <cell r="Q932" t="str">
            <v/>
          </cell>
          <cell r="S932" t="str">
            <v>DF</v>
          </cell>
          <cell r="T932" t="str">
            <v>DF</v>
          </cell>
        </row>
        <row r="933">
          <cell r="A933">
            <v>982089391</v>
          </cell>
          <cell r="B933" t="str">
            <v>65.116.01238-7</v>
          </cell>
          <cell r="C933" t="str">
            <v xml:space="preserve">CHAPA PROT CONTROL TOUCH PCAP ROHS                  REV-02  </v>
          </cell>
          <cell r="D933" t="str">
            <v>29-009105-J OU 09101-D</v>
          </cell>
          <cell r="E933" t="str">
            <v>KION IND E COM LT</v>
          </cell>
          <cell r="F933">
            <v>401</v>
          </cell>
          <cell r="G933">
            <v>44130</v>
          </cell>
          <cell r="H933">
            <v>377860</v>
          </cell>
          <cell r="J933">
            <v>84</v>
          </cell>
          <cell r="K933">
            <v>200</v>
          </cell>
          <cell r="L933">
            <v>200</v>
          </cell>
          <cell r="P933">
            <v>200</v>
          </cell>
          <cell r="Q933" t="str">
            <v/>
          </cell>
          <cell r="S933" t="str">
            <v>DF</v>
          </cell>
          <cell r="T933" t="str">
            <v>DF</v>
          </cell>
        </row>
        <row r="934">
          <cell r="A934">
            <v>982075022</v>
          </cell>
          <cell r="B934" t="str">
            <v>65.116.01244-8</v>
          </cell>
          <cell r="C934" t="str">
            <v xml:space="preserve">SUP FIX SIRENE ATMR4500 ROHS                        REV-01  </v>
          </cell>
          <cell r="D934" t="str">
            <v/>
          </cell>
          <cell r="E934" t="str">
            <v>KION IND E COM LT</v>
          </cell>
          <cell r="F934">
            <v>401</v>
          </cell>
          <cell r="G934">
            <v>44095</v>
          </cell>
          <cell r="H934">
            <v>377860</v>
          </cell>
          <cell r="J934">
            <v>49</v>
          </cell>
          <cell r="K934">
            <v>200</v>
          </cell>
          <cell r="L934">
            <v>200</v>
          </cell>
          <cell r="P934">
            <v>200</v>
          </cell>
          <cell r="Q934" t="str">
            <v>Trat. 03/08 - DIADEMA</v>
          </cell>
          <cell r="S934">
            <v>44074</v>
          </cell>
          <cell r="T934">
            <v>8</v>
          </cell>
        </row>
        <row r="935">
          <cell r="A935">
            <v>708597001041</v>
          </cell>
          <cell r="B935" t="str">
            <v>65.116.00365-5</v>
          </cell>
          <cell r="C935" t="str">
            <v>TAMPA PROT FECHAD K7 NOTA AFD ROHS  REV             REV-03</v>
          </cell>
          <cell r="D935" t="str">
            <v/>
          </cell>
          <cell r="E935" t="str">
            <v>KION IND E COM LT</v>
          </cell>
          <cell r="F935">
            <v>401</v>
          </cell>
          <cell r="G935">
            <v>43997</v>
          </cell>
          <cell r="H935">
            <v>668725</v>
          </cell>
          <cell r="I935" t="str">
            <v>K</v>
          </cell>
          <cell r="J935">
            <v>0</v>
          </cell>
          <cell r="K935">
            <v>135</v>
          </cell>
          <cell r="L935">
            <v>135</v>
          </cell>
          <cell r="O935">
            <v>135</v>
          </cell>
          <cell r="P935">
            <v>0</v>
          </cell>
          <cell r="Q935" t="str">
            <v>EST OK</v>
          </cell>
          <cell r="T935" t="str">
            <v>DF</v>
          </cell>
        </row>
        <row r="936">
          <cell r="A936">
            <v>708597001042</v>
          </cell>
          <cell r="B936" t="str">
            <v>65.116.00365-5</v>
          </cell>
          <cell r="C936" t="str">
            <v>TAMPA PROT FECHAD K7 NOTA AFD ROHS  REV             REV-03</v>
          </cell>
          <cell r="D936" t="str">
            <v/>
          </cell>
          <cell r="E936" t="str">
            <v>KION IND E COM LT</v>
          </cell>
          <cell r="F936">
            <v>401</v>
          </cell>
          <cell r="G936">
            <v>44004</v>
          </cell>
          <cell r="H936">
            <v>668725</v>
          </cell>
          <cell r="I936" t="str">
            <v>K</v>
          </cell>
          <cell r="J936">
            <v>0</v>
          </cell>
          <cell r="K936">
            <v>100</v>
          </cell>
          <cell r="L936">
            <v>100</v>
          </cell>
          <cell r="O936">
            <v>100</v>
          </cell>
          <cell r="P936">
            <v>0</v>
          </cell>
          <cell r="Q936" t="str">
            <v>EST OK</v>
          </cell>
          <cell r="T936" t="str">
            <v>DF</v>
          </cell>
        </row>
        <row r="937">
          <cell r="A937">
            <v>708597001043</v>
          </cell>
          <cell r="B937" t="str">
            <v>65.116.00365-5</v>
          </cell>
          <cell r="C937" t="str">
            <v>TAMPA PROT FECHAD K7 NOTA AFD ROHS  REV             REV-03</v>
          </cell>
          <cell r="D937" t="str">
            <v/>
          </cell>
          <cell r="E937" t="str">
            <v>KION IND E COM LT</v>
          </cell>
          <cell r="F937">
            <v>401</v>
          </cell>
          <cell r="G937">
            <v>44004</v>
          </cell>
          <cell r="H937">
            <v>668725</v>
          </cell>
          <cell r="I937" t="str">
            <v>K</v>
          </cell>
          <cell r="J937">
            <v>0</v>
          </cell>
          <cell r="K937">
            <v>100</v>
          </cell>
          <cell r="L937">
            <v>100</v>
          </cell>
          <cell r="O937">
            <v>100</v>
          </cell>
          <cell r="P937">
            <v>0</v>
          </cell>
          <cell r="Q937" t="str">
            <v>EST OK</v>
          </cell>
          <cell r="T937" t="str">
            <v>DF</v>
          </cell>
        </row>
        <row r="938">
          <cell r="A938">
            <v>708597001044</v>
          </cell>
          <cell r="B938" t="str">
            <v>65.116.00365-5</v>
          </cell>
          <cell r="C938" t="str">
            <v>TAMPA PROT FECHAD K7 NOTA AFD ROHS  REV             REV-03</v>
          </cell>
          <cell r="D938" t="str">
            <v/>
          </cell>
          <cell r="E938" t="str">
            <v>KION IND E COM LT</v>
          </cell>
          <cell r="F938">
            <v>401</v>
          </cell>
          <cell r="G938">
            <v>44004</v>
          </cell>
          <cell r="H938">
            <v>668725</v>
          </cell>
          <cell r="I938" t="str">
            <v>K</v>
          </cell>
          <cell r="J938">
            <v>0</v>
          </cell>
          <cell r="K938">
            <v>100</v>
          </cell>
          <cell r="L938">
            <v>100</v>
          </cell>
          <cell r="O938">
            <v>100</v>
          </cell>
          <cell r="P938">
            <v>0</v>
          </cell>
          <cell r="Q938" t="str">
            <v>EST OK</v>
          </cell>
          <cell r="T938" t="str">
            <v>DF</v>
          </cell>
        </row>
        <row r="939">
          <cell r="A939">
            <v>982075023</v>
          </cell>
          <cell r="B939" t="str">
            <v>65.116.01244-8</v>
          </cell>
          <cell r="C939" t="str">
            <v xml:space="preserve">SUP FIX SIRENE ATMR4500 ROHS                        REV-01  </v>
          </cell>
          <cell r="D939" t="str">
            <v/>
          </cell>
          <cell r="E939" t="str">
            <v>KION IND E COM LT</v>
          </cell>
          <cell r="F939">
            <v>401</v>
          </cell>
          <cell r="G939">
            <v>44123</v>
          </cell>
          <cell r="H939">
            <v>377860</v>
          </cell>
          <cell r="J939">
            <v>77</v>
          </cell>
          <cell r="K939">
            <v>180</v>
          </cell>
          <cell r="L939">
            <v>180</v>
          </cell>
          <cell r="P939">
            <v>180</v>
          </cell>
          <cell r="Q939" t="str">
            <v/>
          </cell>
          <cell r="S939">
            <v>44088</v>
          </cell>
          <cell r="T939">
            <v>10</v>
          </cell>
        </row>
        <row r="940">
          <cell r="A940">
            <v>202609182</v>
          </cell>
          <cell r="B940" t="str">
            <v>65.116.00384-6</v>
          </cell>
          <cell r="C940" t="str">
            <v>BASE LACRE K7 REJ PLAST OPTEVA BR ROHS   REV-       REV-02</v>
          </cell>
          <cell r="D940" t="str">
            <v/>
          </cell>
          <cell r="E940" t="str">
            <v>KION IND E COM LT</v>
          </cell>
          <cell r="F940">
            <v>401</v>
          </cell>
          <cell r="G940">
            <v>43997</v>
          </cell>
          <cell r="H940">
            <v>668725</v>
          </cell>
          <cell r="I940" t="str">
            <v>K</v>
          </cell>
          <cell r="J940">
            <v>0</v>
          </cell>
          <cell r="K940">
            <v>100</v>
          </cell>
          <cell r="L940">
            <v>100</v>
          </cell>
          <cell r="M940">
            <v>100</v>
          </cell>
          <cell r="P940">
            <v>0</v>
          </cell>
          <cell r="Q940" t="str">
            <v>EST OK</v>
          </cell>
          <cell r="T940" t="str">
            <v>DF</v>
          </cell>
        </row>
        <row r="941">
          <cell r="A941">
            <v>982089301</v>
          </cell>
          <cell r="B941" t="str">
            <v>65.116.01244-8</v>
          </cell>
          <cell r="C941" t="str">
            <v xml:space="preserve">SUP FIX SIRENE ATMR4500 ROHS                        REV-01  </v>
          </cell>
          <cell r="D941" t="str">
            <v/>
          </cell>
          <cell r="E941" t="str">
            <v>KION IND E COM LT</v>
          </cell>
          <cell r="F941">
            <v>401</v>
          </cell>
          <cell r="G941">
            <v>44123</v>
          </cell>
          <cell r="H941">
            <v>377860</v>
          </cell>
          <cell r="J941">
            <v>77</v>
          </cell>
          <cell r="K941">
            <v>100</v>
          </cell>
          <cell r="L941">
            <v>100</v>
          </cell>
          <cell r="P941">
            <v>100</v>
          </cell>
          <cell r="Q941" t="str">
            <v/>
          </cell>
          <cell r="S941">
            <v>44109</v>
          </cell>
          <cell r="T941">
            <v>13</v>
          </cell>
        </row>
        <row r="942">
          <cell r="A942">
            <v>982075021</v>
          </cell>
          <cell r="B942" t="str">
            <v>65.116.01244-8</v>
          </cell>
          <cell r="C942" t="str">
            <v xml:space="preserve">SUP FIX SIRENE ATMR4500 ROHS                        REV-01  </v>
          </cell>
          <cell r="D942" t="str">
            <v/>
          </cell>
          <cell r="E942" t="str">
            <v>KION IND E COM LT</v>
          </cell>
          <cell r="F942">
            <v>401</v>
          </cell>
          <cell r="G942">
            <v>44067</v>
          </cell>
          <cell r="H942">
            <v>377860</v>
          </cell>
          <cell r="J942">
            <v>21</v>
          </cell>
          <cell r="K942">
            <v>300</v>
          </cell>
          <cell r="L942">
            <v>300</v>
          </cell>
          <cell r="P942">
            <v>300</v>
          </cell>
          <cell r="Q942" t="str">
            <v>material em tratamento superficial - previsão de entrega até 07/08</v>
          </cell>
          <cell r="S942">
            <v>44053</v>
          </cell>
          <cell r="T942">
            <v>5</v>
          </cell>
        </row>
        <row r="943">
          <cell r="A943">
            <v>202610182</v>
          </cell>
          <cell r="B943" t="str">
            <v>65.116.00385-3</v>
          </cell>
          <cell r="C943" t="str">
            <v>TAMPA LACRE K7 REJ PLAST OPTEV BR ROHS REV-01       REV-02</v>
          </cell>
          <cell r="D943" t="str">
            <v/>
          </cell>
          <cell r="E943" t="str">
            <v>KION IND E COM LT</v>
          </cell>
          <cell r="F943">
            <v>401</v>
          </cell>
          <cell r="G943">
            <v>43969</v>
          </cell>
          <cell r="H943">
            <v>668725</v>
          </cell>
          <cell r="I943" t="str">
            <v>K</v>
          </cell>
          <cell r="J943">
            <v>0</v>
          </cell>
          <cell r="K943">
            <v>100</v>
          </cell>
          <cell r="L943">
            <v>10</v>
          </cell>
          <cell r="M943">
            <v>10</v>
          </cell>
          <cell r="P943">
            <v>0</v>
          </cell>
          <cell r="Q943" t="str">
            <v>EST OK - FM (02/06)</v>
          </cell>
          <cell r="T943" t="str">
            <v>DF</v>
          </cell>
        </row>
        <row r="944">
          <cell r="A944">
            <v>202610183</v>
          </cell>
          <cell r="B944" t="str">
            <v>65.116.00385-3</v>
          </cell>
          <cell r="C944" t="str">
            <v>TAMPA LACRE K7 REJ PLAST OPTEV BR ROHS REV-01       REV-02</v>
          </cell>
          <cell r="D944" t="str">
            <v/>
          </cell>
          <cell r="E944" t="str">
            <v>KION IND E COM LT</v>
          </cell>
          <cell r="F944">
            <v>401</v>
          </cell>
          <cell r="G944">
            <v>43997</v>
          </cell>
          <cell r="H944">
            <v>668725</v>
          </cell>
          <cell r="I944" t="str">
            <v>K</v>
          </cell>
          <cell r="J944">
            <v>0</v>
          </cell>
          <cell r="K944">
            <v>100</v>
          </cell>
          <cell r="L944">
            <v>100</v>
          </cell>
          <cell r="M944">
            <v>100</v>
          </cell>
          <cell r="P944">
            <v>0</v>
          </cell>
          <cell r="Q944" t="str">
            <v>EST OK - FM (02/06)</v>
          </cell>
          <cell r="T944" t="str">
            <v>DF</v>
          </cell>
        </row>
        <row r="945">
          <cell r="A945">
            <v>982075322</v>
          </cell>
          <cell r="B945" t="str">
            <v>65.116.01245-5</v>
          </cell>
          <cell r="C945" t="str">
            <v>SUP TEC EPP7 PINT ROHS                              REV-00</v>
          </cell>
          <cell r="D945" t="str">
            <v/>
          </cell>
          <cell r="E945" t="str">
            <v>KION IND E COM LT</v>
          </cell>
          <cell r="F945">
            <v>401</v>
          </cell>
          <cell r="G945">
            <v>44095</v>
          </cell>
          <cell r="H945">
            <v>377860</v>
          </cell>
          <cell r="J945">
            <v>49</v>
          </cell>
          <cell r="K945">
            <v>200</v>
          </cell>
          <cell r="L945">
            <v>200</v>
          </cell>
          <cell r="P945">
            <v>200</v>
          </cell>
          <cell r="Q945" t="str">
            <v>Trat. 03/08 - REALPOX</v>
          </cell>
          <cell r="S945">
            <v>44074</v>
          </cell>
          <cell r="T945">
            <v>8</v>
          </cell>
        </row>
        <row r="946">
          <cell r="A946">
            <v>982075323</v>
          </cell>
          <cell r="B946" t="str">
            <v>65.116.01245-5</v>
          </cell>
          <cell r="C946" t="str">
            <v>SUP TEC EPP7 PINT ROHS                              REV-00</v>
          </cell>
          <cell r="D946" t="str">
            <v/>
          </cell>
          <cell r="E946" t="str">
            <v>KION IND E COM LT</v>
          </cell>
          <cell r="F946">
            <v>401</v>
          </cell>
          <cell r="G946">
            <v>44123</v>
          </cell>
          <cell r="H946">
            <v>377860</v>
          </cell>
          <cell r="J946">
            <v>77</v>
          </cell>
          <cell r="K946">
            <v>160</v>
          </cell>
          <cell r="L946">
            <v>160</v>
          </cell>
          <cell r="P946">
            <v>160</v>
          </cell>
          <cell r="Q946" t="str">
            <v/>
          </cell>
          <cell r="S946">
            <v>44088</v>
          </cell>
          <cell r="T946">
            <v>10</v>
          </cell>
        </row>
        <row r="947">
          <cell r="A947">
            <v>977352001</v>
          </cell>
          <cell r="B947" t="str">
            <v>65.116.00447-4</v>
          </cell>
          <cell r="C947" t="str">
            <v>ALCA FRONTAL AFD OPTEVA FR ROHS                     REV-01</v>
          </cell>
          <cell r="D947" t="str">
            <v/>
          </cell>
          <cell r="E947" t="str">
            <v>KION IND E COM LT</v>
          </cell>
          <cell r="F947">
            <v>401</v>
          </cell>
          <cell r="G947">
            <v>43983</v>
          </cell>
          <cell r="H947">
            <v>376545</v>
          </cell>
          <cell r="J947">
            <v>0</v>
          </cell>
          <cell r="K947">
            <v>20</v>
          </cell>
          <cell r="L947">
            <v>20</v>
          </cell>
          <cell r="N947">
            <v>20</v>
          </cell>
          <cell r="P947">
            <v>0</v>
          </cell>
          <cell r="Q947" t="str">
            <v>EST OK (VK - 17/07)</v>
          </cell>
          <cell r="T947" t="str">
            <v>DF</v>
          </cell>
        </row>
        <row r="948">
          <cell r="A948">
            <v>982089791</v>
          </cell>
          <cell r="B948" t="str">
            <v>65.116.01245-5</v>
          </cell>
          <cell r="C948" t="str">
            <v>SUP TEC EPP7 PINT ROHS                              REV-00</v>
          </cell>
          <cell r="D948" t="str">
            <v/>
          </cell>
          <cell r="E948" t="str">
            <v>KION IND E COM LT</v>
          </cell>
          <cell r="F948">
            <v>401</v>
          </cell>
          <cell r="G948">
            <v>44123</v>
          </cell>
          <cell r="H948">
            <v>377860</v>
          </cell>
          <cell r="J948">
            <v>77</v>
          </cell>
          <cell r="K948">
            <v>100</v>
          </cell>
          <cell r="L948">
            <v>100</v>
          </cell>
          <cell r="P948">
            <v>100</v>
          </cell>
          <cell r="Q948" t="str">
            <v/>
          </cell>
          <cell r="S948">
            <v>44109</v>
          </cell>
          <cell r="T948">
            <v>13</v>
          </cell>
        </row>
        <row r="949">
          <cell r="A949">
            <v>982075321</v>
          </cell>
          <cell r="B949" t="str">
            <v>65.116.01245-5</v>
          </cell>
          <cell r="C949" t="str">
            <v>SUP TEC EPP7 PINT ROHS                              REV-00</v>
          </cell>
          <cell r="D949" t="str">
            <v/>
          </cell>
          <cell r="E949" t="str">
            <v>KION IND E COM LT</v>
          </cell>
          <cell r="F949">
            <v>401</v>
          </cell>
          <cell r="G949">
            <v>44067</v>
          </cell>
          <cell r="H949">
            <v>377860</v>
          </cell>
          <cell r="J949">
            <v>21</v>
          </cell>
          <cell r="K949">
            <v>300</v>
          </cell>
          <cell r="L949">
            <v>300</v>
          </cell>
          <cell r="P949">
            <v>300</v>
          </cell>
          <cell r="Q949" t="str">
            <v>material em pintura - previsão de entrega até 07/08</v>
          </cell>
          <cell r="R949" t="str">
            <v>07/08 - A</v>
          </cell>
          <cell r="S949">
            <v>44053</v>
          </cell>
          <cell r="T949">
            <v>5</v>
          </cell>
        </row>
        <row r="950">
          <cell r="A950">
            <v>982075162</v>
          </cell>
          <cell r="B950" t="str">
            <v>65.116.01252-3</v>
          </cell>
          <cell r="C950" t="str">
            <v>SUP FIX CAR SETVIDEO/CORTA TEC ATMR4500 SNBC ROHS   REV-01</v>
          </cell>
          <cell r="D950" t="str">
            <v/>
          </cell>
          <cell r="E950" t="str">
            <v>KION IND E COM LT</v>
          </cell>
          <cell r="F950">
            <v>401</v>
          </cell>
          <cell r="G950">
            <v>44095</v>
          </cell>
          <cell r="H950">
            <v>377860</v>
          </cell>
          <cell r="J950">
            <v>49</v>
          </cell>
          <cell r="K950">
            <v>200</v>
          </cell>
          <cell r="L950">
            <v>200</v>
          </cell>
          <cell r="P950">
            <v>200</v>
          </cell>
          <cell r="Q950" t="str">
            <v>Trat. 10/08 - REALPOX</v>
          </cell>
          <cell r="S950">
            <v>44074</v>
          </cell>
          <cell r="T950">
            <v>8</v>
          </cell>
        </row>
        <row r="951">
          <cell r="A951">
            <v>982075163</v>
          </cell>
          <cell r="B951" t="str">
            <v>65.116.01252-3</v>
          </cell>
          <cell r="C951" t="str">
            <v>SUP FIX CAR SETVIDEO/CORTA TEC ATMR4500 SNBC ROHS   REV-01</v>
          </cell>
          <cell r="D951" t="str">
            <v/>
          </cell>
          <cell r="E951" t="str">
            <v>KION IND E COM LT</v>
          </cell>
          <cell r="F951">
            <v>401</v>
          </cell>
          <cell r="G951">
            <v>44123</v>
          </cell>
          <cell r="H951">
            <v>377860</v>
          </cell>
          <cell r="J951">
            <v>77</v>
          </cell>
          <cell r="K951">
            <v>160</v>
          </cell>
          <cell r="L951">
            <v>160</v>
          </cell>
          <cell r="P951">
            <v>160</v>
          </cell>
          <cell r="Q951" t="str">
            <v/>
          </cell>
          <cell r="S951">
            <v>44088</v>
          </cell>
          <cell r="T951">
            <v>10</v>
          </cell>
        </row>
        <row r="952">
          <cell r="A952">
            <v>982089601</v>
          </cell>
          <cell r="B952" t="str">
            <v>65.116.01252-3</v>
          </cell>
          <cell r="C952" t="str">
            <v>SUP FIX CAR SETVIDEO/CORTA TEC ATMR4500 SNBC ROHS   REV-01</v>
          </cell>
          <cell r="D952" t="str">
            <v/>
          </cell>
          <cell r="E952" t="str">
            <v>KION IND E COM LT</v>
          </cell>
          <cell r="F952">
            <v>401</v>
          </cell>
          <cell r="G952">
            <v>44123</v>
          </cell>
          <cell r="H952">
            <v>377860</v>
          </cell>
          <cell r="J952">
            <v>77</v>
          </cell>
          <cell r="K952">
            <v>100</v>
          </cell>
          <cell r="L952">
            <v>100</v>
          </cell>
          <cell r="P952">
            <v>100</v>
          </cell>
          <cell r="Q952" t="str">
            <v/>
          </cell>
          <cell r="S952">
            <v>44109</v>
          </cell>
          <cell r="T952">
            <v>13</v>
          </cell>
        </row>
        <row r="953">
          <cell r="A953">
            <v>982075161</v>
          </cell>
          <cell r="B953" t="str">
            <v>65.116.01252-3</v>
          </cell>
          <cell r="C953" t="str">
            <v>SUP FIX CAR SETVIDEO/CORTA TEC ATMR4500 SNBC ROHS   REV-01</v>
          </cell>
          <cell r="D953" t="str">
            <v/>
          </cell>
          <cell r="E953" t="str">
            <v>KION IND E COM LT</v>
          </cell>
          <cell r="F953">
            <v>401</v>
          </cell>
          <cell r="G953">
            <v>44067</v>
          </cell>
          <cell r="H953">
            <v>377860</v>
          </cell>
          <cell r="J953">
            <v>21</v>
          </cell>
          <cell r="K953">
            <v>300</v>
          </cell>
          <cell r="L953">
            <v>300</v>
          </cell>
          <cell r="P953">
            <v>300</v>
          </cell>
          <cell r="Q953" t="str">
            <v>Trat. 10/08 - 498p - REALPOX</v>
          </cell>
          <cell r="S953">
            <v>44053</v>
          </cell>
          <cell r="T953">
            <v>5</v>
          </cell>
        </row>
        <row r="954">
          <cell r="A954">
            <v>982089571</v>
          </cell>
          <cell r="B954" t="str">
            <v>65.116.01263-9</v>
          </cell>
          <cell r="C954" t="str">
            <v xml:space="preserve">TAMPA FECHAMENTO BOCAL SNBC RM4 ROHS                REV-00  </v>
          </cell>
          <cell r="D954" t="str">
            <v/>
          </cell>
          <cell r="E954" t="str">
            <v>KION IND E COM LT</v>
          </cell>
          <cell r="F954">
            <v>401</v>
          </cell>
          <cell r="G954">
            <v>44074</v>
          </cell>
          <cell r="H954">
            <v>377860</v>
          </cell>
          <cell r="J954">
            <v>28</v>
          </cell>
          <cell r="K954">
            <v>100</v>
          </cell>
          <cell r="L954">
            <v>100</v>
          </cell>
          <cell r="P954">
            <v>100</v>
          </cell>
          <cell r="Q954" t="str">
            <v>material estava em 9W - previsão de entrega até 14/08</v>
          </cell>
          <cell r="S954">
            <v>44046</v>
          </cell>
          <cell r="T954">
            <v>4</v>
          </cell>
        </row>
        <row r="955">
          <cell r="A955">
            <v>202615311</v>
          </cell>
          <cell r="B955" t="str">
            <v>65.120.00018-1</v>
          </cell>
          <cell r="C955" t="str">
            <v>PROT SENS IMA PT GABIN OPTEVA  ROHS                 REV-01</v>
          </cell>
          <cell r="D955" t="str">
            <v/>
          </cell>
          <cell r="E955" t="str">
            <v>KION IND E COM LT</v>
          </cell>
          <cell r="F955">
            <v>401</v>
          </cell>
          <cell r="G955">
            <v>44011</v>
          </cell>
          <cell r="H955">
            <v>668725</v>
          </cell>
          <cell r="I955" t="str">
            <v>K</v>
          </cell>
          <cell r="J955">
            <v>-35</v>
          </cell>
          <cell r="K955">
            <v>100</v>
          </cell>
          <cell r="L955">
            <v>100</v>
          </cell>
          <cell r="P955">
            <v>100</v>
          </cell>
          <cell r="Q955" t="str">
            <v>EST OK - 07/07 (FM)</v>
          </cell>
          <cell r="R955" t="str">
            <v>10/08 - A</v>
          </cell>
          <cell r="S955">
            <v>44081</v>
          </cell>
          <cell r="T955">
            <v>9</v>
          </cell>
        </row>
        <row r="956">
          <cell r="A956">
            <v>202615312</v>
          </cell>
          <cell r="B956" t="str">
            <v>65.120.00018-1</v>
          </cell>
          <cell r="C956" t="str">
            <v>PROT SENS IMA PT GABIN OPTEVA  ROHS                 REV-01</v>
          </cell>
          <cell r="D956" t="str">
            <v/>
          </cell>
          <cell r="E956" t="str">
            <v>KION IND E COM LT</v>
          </cell>
          <cell r="F956">
            <v>401</v>
          </cell>
          <cell r="G956">
            <v>44011</v>
          </cell>
          <cell r="H956">
            <v>668725</v>
          </cell>
          <cell r="I956" t="str">
            <v>K</v>
          </cell>
          <cell r="J956">
            <v>-35</v>
          </cell>
          <cell r="K956">
            <v>100</v>
          </cell>
          <cell r="L956">
            <v>100</v>
          </cell>
          <cell r="P956">
            <v>100</v>
          </cell>
          <cell r="Q956" t="str">
            <v>EST OK - 07/07 (FM)</v>
          </cell>
          <cell r="R956" t="str">
            <v>10/08 - A</v>
          </cell>
          <cell r="S956">
            <v>44081</v>
          </cell>
          <cell r="T956">
            <v>9</v>
          </cell>
        </row>
        <row r="957">
          <cell r="A957">
            <v>202615313</v>
          </cell>
          <cell r="B957" t="str">
            <v>65.120.00018-1</v>
          </cell>
          <cell r="C957" t="str">
            <v>PROT SENS IMA PT GABIN OPTEVA  ROHS                 REV-01</v>
          </cell>
          <cell r="D957" t="str">
            <v/>
          </cell>
          <cell r="E957" t="str">
            <v>KION IND E COM LT</v>
          </cell>
          <cell r="F957">
            <v>401</v>
          </cell>
          <cell r="G957">
            <v>44019</v>
          </cell>
          <cell r="H957">
            <v>668725</v>
          </cell>
          <cell r="I957" t="str">
            <v>K</v>
          </cell>
          <cell r="J957">
            <v>-27</v>
          </cell>
          <cell r="K957">
            <v>100</v>
          </cell>
          <cell r="L957">
            <v>100</v>
          </cell>
          <cell r="P957">
            <v>100</v>
          </cell>
          <cell r="Q957" t="str">
            <v>EST OK - 07/07 (FM)</v>
          </cell>
          <cell r="R957" t="str">
            <v>10/08 - A</v>
          </cell>
          <cell r="S957" t="str">
            <v>DF</v>
          </cell>
          <cell r="T957" t="str">
            <v>DF</v>
          </cell>
        </row>
        <row r="958">
          <cell r="A958">
            <v>202615314</v>
          </cell>
          <cell r="B958" t="str">
            <v>65.120.00018-1</v>
          </cell>
          <cell r="C958" t="str">
            <v>PROT SENS IMA PT GABIN OPTEVA  ROHS                 REV-01</v>
          </cell>
          <cell r="D958" t="str">
            <v/>
          </cell>
          <cell r="E958" t="str">
            <v>KION IND E COM LT</v>
          </cell>
          <cell r="F958">
            <v>401</v>
          </cell>
          <cell r="G958">
            <v>44019</v>
          </cell>
          <cell r="H958">
            <v>668725</v>
          </cell>
          <cell r="I958" t="str">
            <v>K</v>
          </cell>
          <cell r="J958">
            <v>-27</v>
          </cell>
          <cell r="K958">
            <v>100</v>
          </cell>
          <cell r="L958">
            <v>100</v>
          </cell>
          <cell r="P958">
            <v>100</v>
          </cell>
          <cell r="Q958" t="str">
            <v>EST OK - 07/07 (FM)</v>
          </cell>
          <cell r="R958" t="str">
            <v>10/08 - A</v>
          </cell>
          <cell r="S958" t="str">
            <v>DF</v>
          </cell>
          <cell r="T958" t="str">
            <v>DF</v>
          </cell>
        </row>
        <row r="959">
          <cell r="A959">
            <v>202615315</v>
          </cell>
          <cell r="B959" t="str">
            <v>65.120.00018-1</v>
          </cell>
          <cell r="C959" t="str">
            <v>PROT SENS IMA PT GABIN OPTEVA  ROHS                 REV-01</v>
          </cell>
          <cell r="D959" t="str">
            <v/>
          </cell>
          <cell r="E959" t="str">
            <v>KION IND E COM LT</v>
          </cell>
          <cell r="F959">
            <v>401</v>
          </cell>
          <cell r="G959">
            <v>44025</v>
          </cell>
          <cell r="H959">
            <v>668725</v>
          </cell>
          <cell r="I959" t="str">
            <v>K</v>
          </cell>
          <cell r="J959">
            <v>-21</v>
          </cell>
          <cell r="K959">
            <v>100</v>
          </cell>
          <cell r="L959">
            <v>100</v>
          </cell>
          <cell r="P959">
            <v>100</v>
          </cell>
          <cell r="Q959" t="str">
            <v>EST OK - 07/07 (FM)</v>
          </cell>
          <cell r="R959" t="str">
            <v>10/08 - A</v>
          </cell>
          <cell r="S959" t="str">
            <v>DF</v>
          </cell>
          <cell r="T959" t="str">
            <v>DF</v>
          </cell>
        </row>
        <row r="960">
          <cell r="A960">
            <v>202615316</v>
          </cell>
          <cell r="B960" t="str">
            <v>65.120.00018-1</v>
          </cell>
          <cell r="C960" t="str">
            <v>PROT SENS IMA PT GABIN OPTEVA  ROHS                 REV-01</v>
          </cell>
          <cell r="D960" t="str">
            <v/>
          </cell>
          <cell r="E960" t="str">
            <v>KION IND E COM LT</v>
          </cell>
          <cell r="F960">
            <v>401</v>
          </cell>
          <cell r="G960">
            <v>44025</v>
          </cell>
          <cell r="H960">
            <v>668725</v>
          </cell>
          <cell r="I960" t="str">
            <v>K</v>
          </cell>
          <cell r="J960">
            <v>-21</v>
          </cell>
          <cell r="K960">
            <v>100</v>
          </cell>
          <cell r="L960">
            <v>100</v>
          </cell>
          <cell r="P960">
            <v>100</v>
          </cell>
          <cell r="Q960" t="str">
            <v>EST OK - FM (30/07)</v>
          </cell>
          <cell r="R960" t="str">
            <v>10/08 - A</v>
          </cell>
          <cell r="S960" t="str">
            <v>DF</v>
          </cell>
          <cell r="T960" t="str">
            <v>DF</v>
          </cell>
        </row>
        <row r="961">
          <cell r="A961">
            <v>202615317</v>
          </cell>
          <cell r="B961" t="str">
            <v>65.120.00018-1</v>
          </cell>
          <cell r="C961" t="str">
            <v>PROT SENS IMA PT GABIN OPTEVA  ROHS                 REV-01</v>
          </cell>
          <cell r="D961" t="str">
            <v/>
          </cell>
          <cell r="E961" t="str">
            <v>KION IND E COM LT</v>
          </cell>
          <cell r="F961">
            <v>401</v>
          </cell>
          <cell r="G961">
            <v>44025</v>
          </cell>
          <cell r="H961">
            <v>668725</v>
          </cell>
          <cell r="I961" t="str">
            <v>K</v>
          </cell>
          <cell r="J961">
            <v>-21</v>
          </cell>
          <cell r="K961">
            <v>100</v>
          </cell>
          <cell r="L961">
            <v>100</v>
          </cell>
          <cell r="P961">
            <v>100</v>
          </cell>
          <cell r="Q961" t="str">
            <v>EST OK - FM (30/07) + 1253</v>
          </cell>
          <cell r="R961" t="str">
            <v>10/08 - A</v>
          </cell>
          <cell r="S961" t="str">
            <v>DF</v>
          </cell>
          <cell r="T961" t="str">
            <v>DF</v>
          </cell>
        </row>
        <row r="962">
          <cell r="A962">
            <v>977400001</v>
          </cell>
          <cell r="B962" t="str">
            <v>65.120.60000-8</v>
          </cell>
          <cell r="C962" t="str">
            <v>SUPT SENS PT ABT ALUM BB ROHS                       REV-00</v>
          </cell>
          <cell r="D962" t="str">
            <v/>
          </cell>
          <cell r="E962" t="str">
            <v>KION IND E COM LT</v>
          </cell>
          <cell r="F962">
            <v>401</v>
          </cell>
          <cell r="G962">
            <v>44081</v>
          </cell>
          <cell r="H962">
            <v>376545</v>
          </cell>
          <cell r="J962">
            <v>35</v>
          </cell>
          <cell r="K962">
            <v>40</v>
          </cell>
          <cell r="L962">
            <v>40</v>
          </cell>
          <cell r="P962">
            <v>40</v>
          </cell>
          <cell r="Q962" t="str">
            <v>EST OK (VK - 27/07)</v>
          </cell>
          <cell r="S962" t="str">
            <v>DF</v>
          </cell>
          <cell r="T962" t="str">
            <v>DF</v>
          </cell>
        </row>
        <row r="963">
          <cell r="A963">
            <v>982091181</v>
          </cell>
          <cell r="B963" t="str">
            <v>65.120.60000-8</v>
          </cell>
          <cell r="C963" t="str">
            <v>SUPT SENS PT ABT ALUM BB ROHS                       REV-00</v>
          </cell>
          <cell r="D963" t="str">
            <v/>
          </cell>
          <cell r="E963" t="str">
            <v>KION IND E COM LT</v>
          </cell>
          <cell r="F963">
            <v>401</v>
          </cell>
          <cell r="G963">
            <v>44123</v>
          </cell>
          <cell r="H963">
            <v>377860</v>
          </cell>
          <cell r="J963">
            <v>77</v>
          </cell>
          <cell r="K963">
            <v>10</v>
          </cell>
          <cell r="L963">
            <v>10</v>
          </cell>
          <cell r="P963">
            <v>10</v>
          </cell>
          <cell r="Q963" t="str">
            <v>EST OK (VK - 27/07)</v>
          </cell>
          <cell r="S963" t="str">
            <v>DF</v>
          </cell>
          <cell r="T963" t="str">
            <v>DF</v>
          </cell>
        </row>
        <row r="964">
          <cell r="A964">
            <v>2042187</v>
          </cell>
          <cell r="B964" t="str">
            <v>65.199.00006-0</v>
          </cell>
          <cell r="C964" t="str">
            <v>TENSIONADOR ITATIAIA C/PROT ROHS                    REV-06</v>
          </cell>
          <cell r="D964" t="str">
            <v/>
          </cell>
          <cell r="E964" t="str">
            <v>KION IND E COM LT</v>
          </cell>
          <cell r="F964">
            <v>401</v>
          </cell>
          <cell r="G964">
            <v>43955</v>
          </cell>
          <cell r="H964">
            <v>668725</v>
          </cell>
          <cell r="I964" t="str">
            <v>K</v>
          </cell>
          <cell r="J964">
            <v>-91</v>
          </cell>
          <cell r="K964">
            <v>100</v>
          </cell>
          <cell r="L964">
            <v>100</v>
          </cell>
          <cell r="P964">
            <v>100</v>
          </cell>
          <cell r="Q964" t="str">
            <v>Materia prima com defeito estava quebrando na dobra (material importado chegará dia 06/08) – previsão de entrega das peças até dia 12/08</v>
          </cell>
          <cell r="S964" t="str">
            <v>Imediato</v>
          </cell>
          <cell r="T964">
            <v>3</v>
          </cell>
        </row>
        <row r="965">
          <cell r="A965">
            <v>2042188</v>
          </cell>
          <cell r="B965" t="str">
            <v>65.199.00006-0</v>
          </cell>
          <cell r="C965" t="str">
            <v>TENSIONADOR ITATIAIA C/PROT ROHS                    REV-06</v>
          </cell>
          <cell r="D965" t="str">
            <v/>
          </cell>
          <cell r="E965" t="str">
            <v>KION IND E COM LT</v>
          </cell>
          <cell r="F965">
            <v>401</v>
          </cell>
          <cell r="G965">
            <v>43990</v>
          </cell>
          <cell r="H965">
            <v>668725</v>
          </cell>
          <cell r="I965" t="str">
            <v>K</v>
          </cell>
          <cell r="J965">
            <v>-56</v>
          </cell>
          <cell r="K965">
            <v>100</v>
          </cell>
          <cell r="L965">
            <v>100</v>
          </cell>
          <cell r="P965">
            <v>100</v>
          </cell>
          <cell r="Q965" t="str">
            <v>Materia prima com defeito estava quebrando na dobra (material importado chegará dia 06/08) – previsão de entrega das peças até dia 12/08</v>
          </cell>
          <cell r="S965" t="str">
            <v>Imediato</v>
          </cell>
          <cell r="T965">
            <v>3</v>
          </cell>
        </row>
        <row r="966">
          <cell r="A966">
            <v>2042189</v>
          </cell>
          <cell r="B966" t="str">
            <v>65.199.00006-0</v>
          </cell>
          <cell r="C966" t="str">
            <v>TENSIONADOR ITATIAIA C/PROT ROHS                    REV-06</v>
          </cell>
          <cell r="D966" t="str">
            <v/>
          </cell>
          <cell r="E966" t="str">
            <v>KION IND E COM LT</v>
          </cell>
          <cell r="F966">
            <v>401</v>
          </cell>
          <cell r="G966">
            <v>43990</v>
          </cell>
          <cell r="H966">
            <v>668725</v>
          </cell>
          <cell r="I966" t="str">
            <v>K</v>
          </cell>
          <cell r="J966">
            <v>-56</v>
          </cell>
          <cell r="K966">
            <v>100</v>
          </cell>
          <cell r="L966">
            <v>100</v>
          </cell>
          <cell r="P966">
            <v>100</v>
          </cell>
          <cell r="Q966" t="str">
            <v>Materia prima com defeito estava quebrando na dobra (material importado chegará dia 06/08) – previsão de entrega das peças até dia 12/08</v>
          </cell>
          <cell r="S966">
            <v>44046</v>
          </cell>
          <cell r="T966">
            <v>4</v>
          </cell>
        </row>
        <row r="967">
          <cell r="A967">
            <v>2042190</v>
          </cell>
          <cell r="B967" t="str">
            <v>65.199.00006-0</v>
          </cell>
          <cell r="C967" t="str">
            <v>TENSIONADOR ITATIAIA C/PROT ROHS                    REV-06</v>
          </cell>
          <cell r="D967" t="str">
            <v/>
          </cell>
          <cell r="E967" t="str">
            <v>KION IND E COM LT</v>
          </cell>
          <cell r="F967">
            <v>401</v>
          </cell>
          <cell r="G967">
            <v>43990</v>
          </cell>
          <cell r="H967">
            <v>668725</v>
          </cell>
          <cell r="I967" t="str">
            <v>K</v>
          </cell>
          <cell r="J967">
            <v>-56</v>
          </cell>
          <cell r="K967">
            <v>100</v>
          </cell>
          <cell r="L967">
            <v>100</v>
          </cell>
          <cell r="P967">
            <v>100</v>
          </cell>
          <cell r="Q967" t="str">
            <v>Materia prima com defeito estava quebrando na dobra (material importado chegará dia 06/08) – previsão de entrega das peças até dia 12/08</v>
          </cell>
          <cell r="S967">
            <v>44046</v>
          </cell>
          <cell r="T967">
            <v>4</v>
          </cell>
        </row>
        <row r="968">
          <cell r="A968">
            <v>2042191</v>
          </cell>
          <cell r="B968" t="str">
            <v>65.199.00006-0</v>
          </cell>
          <cell r="C968" t="str">
            <v>TENSIONADOR ITATIAIA C/PROT ROHS                    REV-06</v>
          </cell>
          <cell r="D968" t="str">
            <v/>
          </cell>
          <cell r="E968" t="str">
            <v>KION IND E COM LT</v>
          </cell>
          <cell r="F968">
            <v>401</v>
          </cell>
          <cell r="G968">
            <v>43997</v>
          </cell>
          <cell r="H968">
            <v>668725</v>
          </cell>
          <cell r="I968" t="str">
            <v>K</v>
          </cell>
          <cell r="J968">
            <v>-49</v>
          </cell>
          <cell r="K968">
            <v>100</v>
          </cell>
          <cell r="L968">
            <v>100</v>
          </cell>
          <cell r="P968">
            <v>100</v>
          </cell>
          <cell r="Q968" t="str">
            <v>Materia prima com defeito estava quebrando na dobra (material importado chegará dia 06/08) – previsão de entrega das peças até dia 12/08</v>
          </cell>
          <cell r="S968">
            <v>44053</v>
          </cell>
          <cell r="T968">
            <v>5</v>
          </cell>
        </row>
        <row r="969">
          <cell r="A969">
            <v>2042192</v>
          </cell>
          <cell r="B969" t="str">
            <v>65.199.00006-0</v>
          </cell>
          <cell r="C969" t="str">
            <v>TENSIONADOR ITATIAIA C/PROT ROHS                    REV-06</v>
          </cell>
          <cell r="D969" t="str">
            <v/>
          </cell>
          <cell r="E969" t="str">
            <v>KION IND E COM LT</v>
          </cell>
          <cell r="F969">
            <v>401</v>
          </cell>
          <cell r="G969">
            <v>43997</v>
          </cell>
          <cell r="H969">
            <v>668725</v>
          </cell>
          <cell r="I969" t="str">
            <v>K</v>
          </cell>
          <cell r="J969">
            <v>-49</v>
          </cell>
          <cell r="K969">
            <v>100</v>
          </cell>
          <cell r="L969">
            <v>100</v>
          </cell>
          <cell r="P969">
            <v>100</v>
          </cell>
          <cell r="Q969" t="str">
            <v>Materia prima com defeito estava quebrando na dobra (material importado chegará dia 06/08) – previsão de entrega das peças até dia 12/08</v>
          </cell>
          <cell r="S969">
            <v>44053</v>
          </cell>
          <cell r="T969">
            <v>5</v>
          </cell>
        </row>
        <row r="970">
          <cell r="A970">
            <v>2042193</v>
          </cell>
          <cell r="B970" t="str">
            <v>65.199.00006-0</v>
          </cell>
          <cell r="C970" t="str">
            <v>TENSIONADOR ITATIAIA C/PROT ROHS                    REV-06</v>
          </cell>
          <cell r="D970" t="str">
            <v/>
          </cell>
          <cell r="E970" t="str">
            <v>KION IND E COM LT</v>
          </cell>
          <cell r="F970">
            <v>401</v>
          </cell>
          <cell r="G970">
            <v>44011</v>
          </cell>
          <cell r="H970">
            <v>668725</v>
          </cell>
          <cell r="I970" t="str">
            <v>K</v>
          </cell>
          <cell r="J970">
            <v>-35</v>
          </cell>
          <cell r="K970">
            <v>100</v>
          </cell>
          <cell r="L970">
            <v>100</v>
          </cell>
          <cell r="P970">
            <v>100</v>
          </cell>
          <cell r="Q970" t="str">
            <v>COMPRAR material 07/07</v>
          </cell>
          <cell r="S970">
            <v>44067</v>
          </cell>
          <cell r="T970">
            <v>7</v>
          </cell>
        </row>
        <row r="971">
          <cell r="A971">
            <v>2042194</v>
          </cell>
          <cell r="B971" t="str">
            <v>65.199.00006-0</v>
          </cell>
          <cell r="C971" t="str">
            <v>TENSIONADOR ITATIAIA C/PROT ROHS                    REV-06</v>
          </cell>
          <cell r="D971" t="str">
            <v/>
          </cell>
          <cell r="E971" t="str">
            <v>KION IND E COM LT</v>
          </cell>
          <cell r="F971">
            <v>401</v>
          </cell>
          <cell r="G971">
            <v>44011</v>
          </cell>
          <cell r="H971">
            <v>668725</v>
          </cell>
          <cell r="I971" t="str">
            <v>K</v>
          </cell>
          <cell r="J971">
            <v>-35</v>
          </cell>
          <cell r="K971">
            <v>100</v>
          </cell>
          <cell r="L971">
            <v>100</v>
          </cell>
          <cell r="P971">
            <v>100</v>
          </cell>
          <cell r="Q971" t="str">
            <v>COMPRAR material 07/07</v>
          </cell>
          <cell r="S971">
            <v>44067</v>
          </cell>
          <cell r="T971">
            <v>7</v>
          </cell>
        </row>
        <row r="972">
          <cell r="A972">
            <v>2042195</v>
          </cell>
          <cell r="B972" t="str">
            <v>65.199.00006-0</v>
          </cell>
          <cell r="C972" t="str">
            <v>TENSIONADOR ITATIAIA C/PROT ROHS                    REV-06</v>
          </cell>
          <cell r="D972" t="str">
            <v/>
          </cell>
          <cell r="E972" t="str">
            <v>KION IND E COM LT</v>
          </cell>
          <cell r="F972">
            <v>401</v>
          </cell>
          <cell r="G972">
            <v>44025</v>
          </cell>
          <cell r="H972">
            <v>668725</v>
          </cell>
          <cell r="I972" t="str">
            <v>K</v>
          </cell>
          <cell r="J972">
            <v>-21</v>
          </cell>
          <cell r="K972">
            <v>100</v>
          </cell>
          <cell r="L972">
            <v>100</v>
          </cell>
          <cell r="P972">
            <v>100</v>
          </cell>
          <cell r="Q972" t="str">
            <v>COMPRAR material 07/07</v>
          </cell>
          <cell r="S972">
            <v>44067</v>
          </cell>
          <cell r="T972">
            <v>7</v>
          </cell>
        </row>
        <row r="973">
          <cell r="A973">
            <v>2042196</v>
          </cell>
          <cell r="B973" t="str">
            <v>65.199.00006-0</v>
          </cell>
          <cell r="C973" t="str">
            <v>TENSIONADOR ITATIAIA C/PROT ROHS                    REV-06</v>
          </cell>
          <cell r="D973" t="str">
            <v/>
          </cell>
          <cell r="E973" t="str">
            <v>KION IND E COM LT</v>
          </cell>
          <cell r="F973">
            <v>401</v>
          </cell>
          <cell r="G973">
            <v>44025</v>
          </cell>
          <cell r="H973">
            <v>668725</v>
          </cell>
          <cell r="I973" t="str">
            <v>K</v>
          </cell>
          <cell r="J973">
            <v>-21</v>
          </cell>
          <cell r="K973">
            <v>100</v>
          </cell>
          <cell r="L973">
            <v>100</v>
          </cell>
          <cell r="P973">
            <v>100</v>
          </cell>
          <cell r="Q973" t="str">
            <v>COMPRAR material 07/07</v>
          </cell>
          <cell r="S973">
            <v>44074</v>
          </cell>
          <cell r="T973">
            <v>8</v>
          </cell>
        </row>
        <row r="974">
          <cell r="A974">
            <v>2042197</v>
          </cell>
          <cell r="B974" t="str">
            <v>65.199.00006-0</v>
          </cell>
          <cell r="C974" t="str">
            <v>TENSIONADOR ITATIAIA C/PROT ROHS                    REV-06</v>
          </cell>
          <cell r="D974" t="str">
            <v/>
          </cell>
          <cell r="E974" t="str">
            <v>KION IND E COM LT</v>
          </cell>
          <cell r="F974">
            <v>401</v>
          </cell>
          <cell r="G974">
            <v>44025</v>
          </cell>
          <cell r="H974">
            <v>668725</v>
          </cell>
          <cell r="I974" t="str">
            <v>K</v>
          </cell>
          <cell r="J974">
            <v>-21</v>
          </cell>
          <cell r="K974">
            <v>100</v>
          </cell>
          <cell r="L974">
            <v>100</v>
          </cell>
          <cell r="P974">
            <v>100</v>
          </cell>
          <cell r="Q974" t="str">
            <v>COMPRAR material 07/07</v>
          </cell>
          <cell r="S974">
            <v>44074</v>
          </cell>
          <cell r="T974">
            <v>8</v>
          </cell>
        </row>
        <row r="975">
          <cell r="A975">
            <v>2042198</v>
          </cell>
          <cell r="B975" t="str">
            <v>65.199.00006-0</v>
          </cell>
          <cell r="C975" t="str">
            <v>TENSIONADOR ITATIAIA C/PROT ROHS                    REV-06</v>
          </cell>
          <cell r="D975" t="str">
            <v/>
          </cell>
          <cell r="E975" t="str">
            <v>KION IND E COM LT</v>
          </cell>
          <cell r="F975">
            <v>401</v>
          </cell>
          <cell r="G975">
            <v>44025</v>
          </cell>
          <cell r="H975">
            <v>668725</v>
          </cell>
          <cell r="I975" t="str">
            <v>K</v>
          </cell>
          <cell r="J975">
            <v>-21</v>
          </cell>
          <cell r="K975">
            <v>100</v>
          </cell>
          <cell r="L975">
            <v>100</v>
          </cell>
          <cell r="P975">
            <v>100</v>
          </cell>
          <cell r="Q975" t="str">
            <v>COMPRAR material 07/07</v>
          </cell>
          <cell r="S975">
            <v>44081</v>
          </cell>
          <cell r="T975">
            <v>9</v>
          </cell>
        </row>
        <row r="976">
          <cell r="A976">
            <v>2042199</v>
          </cell>
          <cell r="B976" t="str">
            <v>65.199.00006-0</v>
          </cell>
          <cell r="C976" t="str">
            <v>TENSIONADOR ITATIAIA C/PROT ROHS                    REV-06</v>
          </cell>
          <cell r="D976" t="str">
            <v/>
          </cell>
          <cell r="E976" t="str">
            <v>KION IND E COM LT</v>
          </cell>
          <cell r="F976">
            <v>401</v>
          </cell>
          <cell r="G976">
            <v>44025</v>
          </cell>
          <cell r="H976">
            <v>668725</v>
          </cell>
          <cell r="I976" t="str">
            <v>K</v>
          </cell>
          <cell r="J976">
            <v>-21</v>
          </cell>
          <cell r="K976">
            <v>100</v>
          </cell>
          <cell r="L976">
            <v>100</v>
          </cell>
          <cell r="P976">
            <v>100</v>
          </cell>
          <cell r="Q976" t="str">
            <v>COMPRAR material 07/07</v>
          </cell>
          <cell r="S976">
            <v>44081</v>
          </cell>
          <cell r="T976">
            <v>9</v>
          </cell>
        </row>
        <row r="977">
          <cell r="A977">
            <v>2042200</v>
          </cell>
          <cell r="B977" t="str">
            <v>65.199.00006-0</v>
          </cell>
          <cell r="C977" t="str">
            <v>TENSIONADOR ITATIAIA C/PROT ROHS                    REV-06</v>
          </cell>
          <cell r="D977" t="str">
            <v/>
          </cell>
          <cell r="E977" t="str">
            <v>KION IND E COM LT</v>
          </cell>
          <cell r="F977">
            <v>401</v>
          </cell>
          <cell r="G977">
            <v>44025</v>
          </cell>
          <cell r="H977">
            <v>668725</v>
          </cell>
          <cell r="I977" t="str">
            <v>K</v>
          </cell>
          <cell r="J977">
            <v>-21</v>
          </cell>
          <cell r="K977">
            <v>100</v>
          </cell>
          <cell r="L977">
            <v>100</v>
          </cell>
          <cell r="P977">
            <v>100</v>
          </cell>
          <cell r="Q977" t="str">
            <v>COMPRAR material 07/07</v>
          </cell>
          <cell r="S977">
            <v>44081</v>
          </cell>
          <cell r="T977">
            <v>9</v>
          </cell>
        </row>
        <row r="978">
          <cell r="A978">
            <v>202617564</v>
          </cell>
          <cell r="B978" t="str">
            <v>65.519.00063-3</v>
          </cell>
          <cell r="C978" t="str">
            <v>MOLA DIR K7 AFD/MMD FLEX ROHS                       REV-01</v>
          </cell>
          <cell r="D978" t="str">
            <v/>
          </cell>
          <cell r="E978" t="str">
            <v>KION IND E COM LT</v>
          </cell>
          <cell r="F978">
            <v>401</v>
          </cell>
          <cell r="G978">
            <v>43997</v>
          </cell>
          <cell r="H978">
            <v>668725</v>
          </cell>
          <cell r="I978" t="str">
            <v>K</v>
          </cell>
          <cell r="J978">
            <v>0</v>
          </cell>
          <cell r="K978">
            <v>100</v>
          </cell>
          <cell r="L978">
            <v>100</v>
          </cell>
          <cell r="N978">
            <v>100</v>
          </cell>
          <cell r="P978">
            <v>0</v>
          </cell>
          <cell r="Q978" t="str">
            <v>EST OK</v>
          </cell>
          <cell r="T978" t="str">
            <v>DF</v>
          </cell>
        </row>
        <row r="979">
          <cell r="A979">
            <v>202617565</v>
          </cell>
          <cell r="B979" t="str">
            <v>65.519.00063-3</v>
          </cell>
          <cell r="C979" t="str">
            <v>MOLA DIR K7 AFD/MMD FLEX ROHS                       REV-01</v>
          </cell>
          <cell r="D979" t="str">
            <v/>
          </cell>
          <cell r="E979" t="str">
            <v>KION IND E COM LT</v>
          </cell>
          <cell r="F979">
            <v>401</v>
          </cell>
          <cell r="G979">
            <v>43997</v>
          </cell>
          <cell r="H979">
            <v>668725</v>
          </cell>
          <cell r="I979" t="str">
            <v>K</v>
          </cell>
          <cell r="J979">
            <v>0</v>
          </cell>
          <cell r="K979">
            <v>100</v>
          </cell>
          <cell r="L979">
            <v>100</v>
          </cell>
          <cell r="N979">
            <v>100</v>
          </cell>
          <cell r="P979">
            <v>0</v>
          </cell>
          <cell r="Q979" t="str">
            <v>EST OK</v>
          </cell>
          <cell r="T979" t="str">
            <v>DF</v>
          </cell>
        </row>
        <row r="980">
          <cell r="A980">
            <v>202617566</v>
          </cell>
          <cell r="B980" t="str">
            <v>65.519.00063-3</v>
          </cell>
          <cell r="C980" t="str">
            <v>MOLA DIR K7 AFD/MMD FLEX ROHS                       REV-01</v>
          </cell>
          <cell r="D980" t="str">
            <v/>
          </cell>
          <cell r="E980" t="str">
            <v>KION IND E COM LT</v>
          </cell>
          <cell r="F980">
            <v>401</v>
          </cell>
          <cell r="G980">
            <v>43997</v>
          </cell>
          <cell r="H980">
            <v>668725</v>
          </cell>
          <cell r="I980" t="str">
            <v>K</v>
          </cell>
          <cell r="J980">
            <v>0</v>
          </cell>
          <cell r="K980">
            <v>100</v>
          </cell>
          <cell r="L980">
            <v>100</v>
          </cell>
          <cell r="N980">
            <v>100</v>
          </cell>
          <cell r="P980">
            <v>0</v>
          </cell>
          <cell r="Q980" t="str">
            <v>EST OK</v>
          </cell>
          <cell r="T980" t="str">
            <v>DF</v>
          </cell>
        </row>
        <row r="981">
          <cell r="A981">
            <v>202617567</v>
          </cell>
          <cell r="B981" t="str">
            <v>65.519.00063-3</v>
          </cell>
          <cell r="C981" t="str">
            <v>MOLA DIR K7 AFD/MMD FLEX ROHS                       REV-01</v>
          </cell>
          <cell r="D981" t="str">
            <v/>
          </cell>
          <cell r="E981" t="str">
            <v>KION IND E COM LT</v>
          </cell>
          <cell r="F981">
            <v>401</v>
          </cell>
          <cell r="G981">
            <v>43997</v>
          </cell>
          <cell r="H981">
            <v>668725</v>
          </cell>
          <cell r="I981" t="str">
            <v>K</v>
          </cell>
          <cell r="J981">
            <v>0</v>
          </cell>
          <cell r="K981">
            <v>100</v>
          </cell>
          <cell r="L981">
            <v>100</v>
          </cell>
          <cell r="N981">
            <v>100</v>
          </cell>
          <cell r="P981">
            <v>0</v>
          </cell>
          <cell r="Q981" t="str">
            <v>EST OK (+600)</v>
          </cell>
          <cell r="T981" t="str">
            <v>DF</v>
          </cell>
        </row>
        <row r="982">
          <cell r="A982">
            <v>2042201</v>
          </cell>
          <cell r="B982" t="str">
            <v>65.199.00006-0</v>
          </cell>
          <cell r="C982" t="str">
            <v>TENSIONADOR ITATIAIA C/PROT ROHS                    REV-06</v>
          </cell>
          <cell r="D982" t="str">
            <v/>
          </cell>
          <cell r="E982" t="str">
            <v>KION IND E COM LT</v>
          </cell>
          <cell r="F982">
            <v>401</v>
          </cell>
          <cell r="G982">
            <v>44025</v>
          </cell>
          <cell r="H982">
            <v>668725</v>
          </cell>
          <cell r="I982" t="str">
            <v>K</v>
          </cell>
          <cell r="J982">
            <v>-21</v>
          </cell>
          <cell r="K982">
            <v>100</v>
          </cell>
          <cell r="L982">
            <v>100</v>
          </cell>
          <cell r="P982">
            <v>100</v>
          </cell>
          <cell r="Q982" t="str">
            <v>COMPRAR material 07/07</v>
          </cell>
          <cell r="S982">
            <v>44081</v>
          </cell>
          <cell r="T982">
            <v>9</v>
          </cell>
        </row>
        <row r="983">
          <cell r="A983">
            <v>2042202</v>
          </cell>
          <cell r="B983" t="str">
            <v>65.199.00006-0</v>
          </cell>
          <cell r="C983" t="str">
            <v>TENSIONADOR ITATIAIA C/PROT ROHS                    REV-06</v>
          </cell>
          <cell r="D983" t="str">
            <v/>
          </cell>
          <cell r="E983" t="str">
            <v>KION IND E COM LT</v>
          </cell>
          <cell r="F983">
            <v>401</v>
          </cell>
          <cell r="G983">
            <v>44025</v>
          </cell>
          <cell r="H983">
            <v>668725</v>
          </cell>
          <cell r="I983" t="str">
            <v>K</v>
          </cell>
          <cell r="J983">
            <v>-21</v>
          </cell>
          <cell r="K983">
            <v>100</v>
          </cell>
          <cell r="L983">
            <v>100</v>
          </cell>
          <cell r="P983">
            <v>100</v>
          </cell>
          <cell r="Q983" t="str">
            <v>COMPRAR material 07/07</v>
          </cell>
          <cell r="S983">
            <v>44088</v>
          </cell>
          <cell r="T983">
            <v>10</v>
          </cell>
        </row>
        <row r="984">
          <cell r="A984">
            <v>978019001</v>
          </cell>
          <cell r="B984" t="str">
            <v>65.211.10028-4</v>
          </cell>
          <cell r="C984" t="str">
            <v>LNG FERR PNL TPG 37XXNP                             REV-01</v>
          </cell>
          <cell r="D984" t="str">
            <v/>
          </cell>
          <cell r="E984" t="str">
            <v>KION IND E COM LT</v>
          </cell>
          <cell r="F984">
            <v>401</v>
          </cell>
          <cell r="G984">
            <v>44053</v>
          </cell>
          <cell r="H984">
            <v>376874</v>
          </cell>
          <cell r="J984">
            <v>7</v>
          </cell>
          <cell r="K984">
            <v>10</v>
          </cell>
          <cell r="L984">
            <v>10</v>
          </cell>
          <cell r="P984">
            <v>10</v>
          </cell>
          <cell r="Q984" t="str">
            <v/>
          </cell>
          <cell r="S984" t="str">
            <v>DF</v>
          </cell>
          <cell r="T984" t="str">
            <v>DF</v>
          </cell>
        </row>
        <row r="985">
          <cell r="A985">
            <v>979878001</v>
          </cell>
          <cell r="B985" t="str">
            <v>65.413.10135-5</v>
          </cell>
          <cell r="C985" t="str">
            <v>CHASSI CAR MSUSB LOW PROFILE ROHS                   REV-02</v>
          </cell>
          <cell r="D985" t="str">
            <v/>
          </cell>
          <cell r="E985" t="str">
            <v>KION IND E COM LT</v>
          </cell>
          <cell r="F985">
            <v>401</v>
          </cell>
          <cell r="G985">
            <v>44046</v>
          </cell>
          <cell r="H985">
            <v>377203</v>
          </cell>
          <cell r="J985">
            <v>0</v>
          </cell>
          <cell r="K985">
            <v>200</v>
          </cell>
          <cell r="L985">
            <v>200</v>
          </cell>
          <cell r="P985">
            <v>200</v>
          </cell>
          <cell r="Q985" t="str">
            <v/>
          </cell>
          <cell r="S985">
            <v>44095</v>
          </cell>
          <cell r="T985">
            <v>11</v>
          </cell>
        </row>
        <row r="986">
          <cell r="A986">
            <v>202616169</v>
          </cell>
          <cell r="B986" t="str">
            <v>65.510.00073-1</v>
          </cell>
          <cell r="C986" t="str">
            <v xml:space="preserve">PROTECAO CABECA  ROHS  REV-00                       REV-03  </v>
          </cell>
          <cell r="D986" t="str">
            <v/>
          </cell>
          <cell r="E986" t="str">
            <v>KION IND E COM LT</v>
          </cell>
          <cell r="F986">
            <v>401</v>
          </cell>
          <cell r="G986">
            <v>44011</v>
          </cell>
          <cell r="H986">
            <v>668725</v>
          </cell>
          <cell r="I986" t="str">
            <v>K</v>
          </cell>
          <cell r="J986">
            <v>-35</v>
          </cell>
          <cell r="K986">
            <v>100</v>
          </cell>
          <cell r="L986">
            <v>100</v>
          </cell>
          <cell r="P986">
            <v>100</v>
          </cell>
          <cell r="Q986" t="str">
            <v>EST OK - FM (30/07)</v>
          </cell>
          <cell r="S986">
            <v>44074</v>
          </cell>
          <cell r="T986">
            <v>8</v>
          </cell>
        </row>
        <row r="987">
          <cell r="A987">
            <v>202616170</v>
          </cell>
          <cell r="B987" t="str">
            <v>65.510.00073-1</v>
          </cell>
          <cell r="C987" t="str">
            <v xml:space="preserve">PROTECAO CABECA  ROHS  REV-00                       REV-03  </v>
          </cell>
          <cell r="D987" t="str">
            <v/>
          </cell>
          <cell r="E987" t="str">
            <v>KION IND E COM LT</v>
          </cell>
          <cell r="F987">
            <v>401</v>
          </cell>
          <cell r="G987">
            <v>44025</v>
          </cell>
          <cell r="H987">
            <v>668725</v>
          </cell>
          <cell r="I987" t="str">
            <v>K</v>
          </cell>
          <cell r="J987">
            <v>-21</v>
          </cell>
          <cell r="K987">
            <v>100</v>
          </cell>
          <cell r="L987">
            <v>100</v>
          </cell>
          <cell r="P987">
            <v>100</v>
          </cell>
          <cell r="Q987" t="str">
            <v>ESTAMP. 30/07 - FM</v>
          </cell>
          <cell r="S987">
            <v>44081</v>
          </cell>
          <cell r="T987">
            <v>9</v>
          </cell>
        </row>
        <row r="988">
          <cell r="A988">
            <v>202616171</v>
          </cell>
          <cell r="B988" t="str">
            <v>65.510.00073-1</v>
          </cell>
          <cell r="C988" t="str">
            <v xml:space="preserve">PROTECAO CABECA  ROHS  REV-00                       REV-03  </v>
          </cell>
          <cell r="D988" t="str">
            <v/>
          </cell>
          <cell r="E988" t="str">
            <v>KION IND E COM LT</v>
          </cell>
          <cell r="F988">
            <v>401</v>
          </cell>
          <cell r="G988">
            <v>44025</v>
          </cell>
          <cell r="H988">
            <v>668725</v>
          </cell>
          <cell r="I988" t="str">
            <v>K</v>
          </cell>
          <cell r="J988">
            <v>-21</v>
          </cell>
          <cell r="K988">
            <v>100</v>
          </cell>
          <cell r="L988">
            <v>100</v>
          </cell>
          <cell r="P988">
            <v>100</v>
          </cell>
          <cell r="Q988" t="str">
            <v>ESTAMP. 30/07 - FM</v>
          </cell>
          <cell r="S988">
            <v>44081</v>
          </cell>
          <cell r="T988">
            <v>9</v>
          </cell>
        </row>
        <row r="989">
          <cell r="A989">
            <v>202616172</v>
          </cell>
          <cell r="B989" t="str">
            <v>65.510.00073-1</v>
          </cell>
          <cell r="C989" t="str">
            <v xml:space="preserve">PROTECAO CABECA  ROHS  REV-00                       REV-03  </v>
          </cell>
          <cell r="D989" t="str">
            <v/>
          </cell>
          <cell r="E989" t="str">
            <v>KION IND E COM LT</v>
          </cell>
          <cell r="F989">
            <v>401</v>
          </cell>
          <cell r="G989">
            <v>44025</v>
          </cell>
          <cell r="H989">
            <v>668725</v>
          </cell>
          <cell r="I989" t="str">
            <v>K</v>
          </cell>
          <cell r="J989">
            <v>-21</v>
          </cell>
          <cell r="K989">
            <v>100</v>
          </cell>
          <cell r="L989">
            <v>100</v>
          </cell>
          <cell r="P989">
            <v>100</v>
          </cell>
          <cell r="Q989" t="str">
            <v>ESTAMP. 30/07 - FM</v>
          </cell>
          <cell r="S989">
            <v>44081</v>
          </cell>
          <cell r="T989">
            <v>9</v>
          </cell>
        </row>
        <row r="990">
          <cell r="A990">
            <v>202616173</v>
          </cell>
          <cell r="B990" t="str">
            <v>65.510.00073-1</v>
          </cell>
          <cell r="C990" t="str">
            <v xml:space="preserve">PROTECAO CABECA  ROHS  REV-00                       REV-03  </v>
          </cell>
          <cell r="D990" t="str">
            <v/>
          </cell>
          <cell r="E990" t="str">
            <v>KION IND E COM LT</v>
          </cell>
          <cell r="F990">
            <v>401</v>
          </cell>
          <cell r="G990">
            <v>44025</v>
          </cell>
          <cell r="H990">
            <v>668725</v>
          </cell>
          <cell r="I990" t="str">
            <v>K</v>
          </cell>
          <cell r="J990">
            <v>-21</v>
          </cell>
          <cell r="K990">
            <v>100</v>
          </cell>
          <cell r="L990">
            <v>100</v>
          </cell>
          <cell r="P990">
            <v>100</v>
          </cell>
          <cell r="Q990" t="str">
            <v>ESTAMP. 30/07 - FM</v>
          </cell>
          <cell r="S990">
            <v>44081</v>
          </cell>
          <cell r="T990">
            <v>9</v>
          </cell>
        </row>
        <row r="991">
          <cell r="A991">
            <v>202616174</v>
          </cell>
          <cell r="B991" t="str">
            <v>65.510.00073-1</v>
          </cell>
          <cell r="C991" t="str">
            <v xml:space="preserve">PROTECAO CABECA  ROHS  REV-00                       REV-03  </v>
          </cell>
          <cell r="D991" t="str">
            <v/>
          </cell>
          <cell r="E991" t="str">
            <v>KION IND E COM LT</v>
          </cell>
          <cell r="F991">
            <v>401</v>
          </cell>
          <cell r="G991">
            <v>44025</v>
          </cell>
          <cell r="H991">
            <v>668725</v>
          </cell>
          <cell r="I991" t="str">
            <v>K</v>
          </cell>
          <cell r="J991">
            <v>-21</v>
          </cell>
          <cell r="K991">
            <v>100</v>
          </cell>
          <cell r="L991">
            <v>100</v>
          </cell>
          <cell r="P991">
            <v>100</v>
          </cell>
          <cell r="Q991" t="str">
            <v>ESTAMP. 30/07 - FM</v>
          </cell>
          <cell r="S991">
            <v>44095</v>
          </cell>
          <cell r="T991">
            <v>11</v>
          </cell>
        </row>
        <row r="992">
          <cell r="A992">
            <v>982079871</v>
          </cell>
          <cell r="B992" t="str">
            <v>65.510.00154-3</v>
          </cell>
          <cell r="C992" t="str">
            <v xml:space="preserve">ALAVANCA DO SPRUNG AFD SPLIT (NOVA)                 REV-00  </v>
          </cell>
          <cell r="D992" t="str">
            <v/>
          </cell>
          <cell r="E992" t="str">
            <v>KION IND E COM LT</v>
          </cell>
          <cell r="F992">
            <v>401</v>
          </cell>
          <cell r="G992">
            <v>44123</v>
          </cell>
          <cell r="H992">
            <v>377860</v>
          </cell>
          <cell r="J992">
            <v>77</v>
          </cell>
          <cell r="K992">
            <v>350</v>
          </cell>
          <cell r="L992">
            <v>350</v>
          </cell>
          <cell r="P992">
            <v>350</v>
          </cell>
          <cell r="Q992" t="str">
            <v/>
          </cell>
          <cell r="S992" t="str">
            <v>DF</v>
          </cell>
          <cell r="T992" t="str">
            <v>DF</v>
          </cell>
        </row>
        <row r="993">
          <cell r="A993">
            <v>202617568</v>
          </cell>
          <cell r="B993" t="str">
            <v>65.519.00063-3</v>
          </cell>
          <cell r="C993" t="str">
            <v>MOLA DIR K7 AFD/MMD FLEX ROHS                       REV-01</v>
          </cell>
          <cell r="D993" t="str">
            <v/>
          </cell>
          <cell r="E993" t="str">
            <v>KION IND E COM LT</v>
          </cell>
          <cell r="F993">
            <v>401</v>
          </cell>
          <cell r="G993">
            <v>44025</v>
          </cell>
          <cell r="H993">
            <v>668725</v>
          </cell>
          <cell r="I993" t="str">
            <v>K</v>
          </cell>
          <cell r="J993">
            <v>-21</v>
          </cell>
          <cell r="K993">
            <v>100</v>
          </cell>
          <cell r="L993">
            <v>100</v>
          </cell>
          <cell r="P993">
            <v>100</v>
          </cell>
          <cell r="Q993" t="str">
            <v>EST OK - FM (30/07)</v>
          </cell>
          <cell r="S993" t="str">
            <v>DF</v>
          </cell>
          <cell r="T993" t="str">
            <v>DF</v>
          </cell>
        </row>
        <row r="994">
          <cell r="A994">
            <v>202617569</v>
          </cell>
          <cell r="B994" t="str">
            <v>65.519.00063-3</v>
          </cell>
          <cell r="C994" t="str">
            <v>MOLA DIR K7 AFD/MMD FLEX ROHS                       REV-01</v>
          </cell>
          <cell r="D994" t="str">
            <v/>
          </cell>
          <cell r="E994" t="str">
            <v>KION IND E COM LT</v>
          </cell>
          <cell r="F994">
            <v>401</v>
          </cell>
          <cell r="G994">
            <v>44025</v>
          </cell>
          <cell r="H994">
            <v>668725</v>
          </cell>
          <cell r="I994" t="str">
            <v>K</v>
          </cell>
          <cell r="J994">
            <v>-21</v>
          </cell>
          <cell r="K994">
            <v>100</v>
          </cell>
          <cell r="L994">
            <v>100</v>
          </cell>
          <cell r="P994">
            <v>100</v>
          </cell>
          <cell r="Q994" t="str">
            <v>EST OK - FM (30/07)</v>
          </cell>
          <cell r="S994" t="str">
            <v>DF</v>
          </cell>
          <cell r="T994" t="str">
            <v>DF</v>
          </cell>
        </row>
        <row r="995">
          <cell r="A995">
            <v>202617570</v>
          </cell>
          <cell r="B995" t="str">
            <v>65.519.00063-3</v>
          </cell>
          <cell r="C995" t="str">
            <v>MOLA DIR K7 AFD/MMD FLEX ROHS                       REV-01</v>
          </cell>
          <cell r="D995" t="str">
            <v/>
          </cell>
          <cell r="E995" t="str">
            <v>KION IND E COM LT</v>
          </cell>
          <cell r="F995">
            <v>401</v>
          </cell>
          <cell r="G995">
            <v>44025</v>
          </cell>
          <cell r="H995">
            <v>668725</v>
          </cell>
          <cell r="I995" t="str">
            <v>K</v>
          </cell>
          <cell r="J995">
            <v>-21</v>
          </cell>
          <cell r="K995">
            <v>100</v>
          </cell>
          <cell r="L995">
            <v>100</v>
          </cell>
          <cell r="P995">
            <v>100</v>
          </cell>
          <cell r="Q995" t="str">
            <v>EST OK - FM (30/07)</v>
          </cell>
          <cell r="S995" t="str">
            <v>DF</v>
          </cell>
          <cell r="T995" t="str">
            <v>DF</v>
          </cell>
        </row>
        <row r="996">
          <cell r="A996">
            <v>202617571</v>
          </cell>
          <cell r="B996" t="str">
            <v>65.519.00063-3</v>
          </cell>
          <cell r="C996" t="str">
            <v>MOLA DIR K7 AFD/MMD FLEX ROHS                       REV-01</v>
          </cell>
          <cell r="D996" t="str">
            <v/>
          </cell>
          <cell r="E996" t="str">
            <v>KION IND E COM LT</v>
          </cell>
          <cell r="F996">
            <v>401</v>
          </cell>
          <cell r="G996">
            <v>44025</v>
          </cell>
          <cell r="H996">
            <v>668725</v>
          </cell>
          <cell r="I996" t="str">
            <v>K</v>
          </cell>
          <cell r="J996">
            <v>-21</v>
          </cell>
          <cell r="K996">
            <v>100</v>
          </cell>
          <cell r="L996">
            <v>100</v>
          </cell>
          <cell r="P996">
            <v>100</v>
          </cell>
          <cell r="Q996" t="str">
            <v>EST OK - FM (30/07)</v>
          </cell>
          <cell r="S996" t="str">
            <v>DF</v>
          </cell>
          <cell r="T996" t="str">
            <v>DF</v>
          </cell>
        </row>
        <row r="997">
          <cell r="A997">
            <v>202617572</v>
          </cell>
          <cell r="B997" t="str">
            <v>65.519.00063-3</v>
          </cell>
          <cell r="C997" t="str">
            <v>MOLA DIR K7 AFD/MMD FLEX ROHS                       REV-01</v>
          </cell>
          <cell r="D997" t="str">
            <v/>
          </cell>
          <cell r="E997" t="str">
            <v>KION IND E COM LT</v>
          </cell>
          <cell r="F997">
            <v>401</v>
          </cell>
          <cell r="G997">
            <v>44025</v>
          </cell>
          <cell r="H997">
            <v>668725</v>
          </cell>
          <cell r="I997" t="str">
            <v>K</v>
          </cell>
          <cell r="J997">
            <v>-21</v>
          </cell>
          <cell r="K997">
            <v>100</v>
          </cell>
          <cell r="L997">
            <v>100</v>
          </cell>
          <cell r="P997">
            <v>100</v>
          </cell>
          <cell r="Q997" t="str">
            <v>EST OK - FM (30/07) +100</v>
          </cell>
          <cell r="S997" t="str">
            <v>DF</v>
          </cell>
          <cell r="T997" t="str">
            <v>DF</v>
          </cell>
        </row>
        <row r="998">
          <cell r="A998">
            <v>202618539</v>
          </cell>
          <cell r="B998" t="str">
            <v>65.519.00064-0</v>
          </cell>
          <cell r="C998" t="str">
            <v>MOLA ESQ K7 AFD/MMD FLEX  ROHS                      REV-03</v>
          </cell>
          <cell r="D998" t="str">
            <v>FITA ADESIVA</v>
          </cell>
          <cell r="E998" t="str">
            <v>KION IND E COM LT</v>
          </cell>
          <cell r="F998">
            <v>401</v>
          </cell>
          <cell r="G998">
            <v>43955</v>
          </cell>
          <cell r="H998">
            <v>668725</v>
          </cell>
          <cell r="I998" t="str">
            <v>K</v>
          </cell>
          <cell r="J998">
            <v>-91</v>
          </cell>
          <cell r="K998">
            <v>100</v>
          </cell>
          <cell r="L998">
            <v>60</v>
          </cell>
          <cell r="P998">
            <v>60</v>
          </cell>
          <cell r="Q998" t="str">
            <v>EST OK - AGUARDANDO ADESIVO</v>
          </cell>
          <cell r="S998">
            <v>44081</v>
          </cell>
          <cell r="T998">
            <v>9</v>
          </cell>
        </row>
        <row r="999">
          <cell r="A999">
            <v>202618549</v>
          </cell>
          <cell r="B999" t="str">
            <v>65.519.00064-0</v>
          </cell>
          <cell r="C999" t="str">
            <v>MOLA ESQ K7 AFD/MMD FLEX  ROHS                      REV-03</v>
          </cell>
          <cell r="D999" t="str">
            <v>FITA ADESIVA</v>
          </cell>
          <cell r="E999" t="str">
            <v>KION IND E COM LT</v>
          </cell>
          <cell r="F999">
            <v>401</v>
          </cell>
          <cell r="G999">
            <v>43997</v>
          </cell>
          <cell r="H999">
            <v>668725</v>
          </cell>
          <cell r="I999" t="str">
            <v>K</v>
          </cell>
          <cell r="J999">
            <v>-49</v>
          </cell>
          <cell r="K999">
            <v>100</v>
          </cell>
          <cell r="L999">
            <v>100</v>
          </cell>
          <cell r="P999">
            <v>100</v>
          </cell>
          <cell r="Q999" t="str">
            <v>comprar material</v>
          </cell>
          <cell r="S999">
            <v>44081</v>
          </cell>
          <cell r="T999">
            <v>9</v>
          </cell>
        </row>
        <row r="1000">
          <cell r="A1000">
            <v>202618550</v>
          </cell>
          <cell r="B1000" t="str">
            <v>65.519.00064-0</v>
          </cell>
          <cell r="C1000" t="str">
            <v>MOLA ESQ K7 AFD/MMD FLEX  ROHS                      REV-03</v>
          </cell>
          <cell r="D1000" t="str">
            <v>FITA ADESIVA</v>
          </cell>
          <cell r="E1000" t="str">
            <v>KION IND E COM LT</v>
          </cell>
          <cell r="F1000">
            <v>401</v>
          </cell>
          <cell r="G1000">
            <v>43997</v>
          </cell>
          <cell r="H1000">
            <v>668725</v>
          </cell>
          <cell r="I1000" t="str">
            <v>K</v>
          </cell>
          <cell r="J1000">
            <v>-49</v>
          </cell>
          <cell r="K1000">
            <v>100</v>
          </cell>
          <cell r="L1000">
            <v>100</v>
          </cell>
          <cell r="P1000">
            <v>100</v>
          </cell>
          <cell r="Q1000" t="str">
            <v>comprar material</v>
          </cell>
          <cell r="S1000">
            <v>44081</v>
          </cell>
          <cell r="T1000">
            <v>9</v>
          </cell>
        </row>
        <row r="1001">
          <cell r="A1001">
            <v>202618551</v>
          </cell>
          <cell r="B1001" t="str">
            <v>65.519.00064-0</v>
          </cell>
          <cell r="C1001" t="str">
            <v>MOLA ESQ K7 AFD/MMD FLEX  ROHS                      REV-03</v>
          </cell>
          <cell r="D1001" t="str">
            <v>FITA ADESIVA</v>
          </cell>
          <cell r="E1001" t="str">
            <v>KION IND E COM LT</v>
          </cell>
          <cell r="F1001">
            <v>401</v>
          </cell>
          <cell r="G1001">
            <v>43997</v>
          </cell>
          <cell r="H1001">
            <v>668725</v>
          </cell>
          <cell r="I1001" t="str">
            <v>K</v>
          </cell>
          <cell r="J1001">
            <v>-49</v>
          </cell>
          <cell r="K1001">
            <v>100</v>
          </cell>
          <cell r="L1001">
            <v>100</v>
          </cell>
          <cell r="P1001">
            <v>100</v>
          </cell>
          <cell r="Q1001" t="str">
            <v>comprar material</v>
          </cell>
          <cell r="S1001">
            <v>44081</v>
          </cell>
          <cell r="T1001">
            <v>9</v>
          </cell>
        </row>
        <row r="1002">
          <cell r="A1002">
            <v>202618552</v>
          </cell>
          <cell r="B1002" t="str">
            <v>65.519.00064-0</v>
          </cell>
          <cell r="C1002" t="str">
            <v>MOLA ESQ K7 AFD/MMD FLEX  ROHS                      REV-03</v>
          </cell>
          <cell r="D1002" t="str">
            <v>FITA ADESIVA</v>
          </cell>
          <cell r="E1002" t="str">
            <v>KION IND E COM LT</v>
          </cell>
          <cell r="F1002">
            <v>401</v>
          </cell>
          <cell r="G1002">
            <v>44004</v>
          </cell>
          <cell r="H1002">
            <v>668725</v>
          </cell>
          <cell r="I1002" t="str">
            <v>K</v>
          </cell>
          <cell r="J1002">
            <v>-42</v>
          </cell>
          <cell r="K1002">
            <v>100</v>
          </cell>
          <cell r="L1002">
            <v>100</v>
          </cell>
          <cell r="P1002">
            <v>100</v>
          </cell>
          <cell r="Q1002" t="str">
            <v>comprar material</v>
          </cell>
          <cell r="S1002">
            <v>44081</v>
          </cell>
          <cell r="T1002">
            <v>9</v>
          </cell>
        </row>
        <row r="1003">
          <cell r="A1003">
            <v>202618553</v>
          </cell>
          <cell r="B1003" t="str">
            <v>65.519.00064-0</v>
          </cell>
          <cell r="C1003" t="str">
            <v>MOLA ESQ K7 AFD/MMD FLEX  ROHS                      REV-03</v>
          </cell>
          <cell r="D1003" t="str">
            <v>FITA ADESIVA</v>
          </cell>
          <cell r="E1003" t="str">
            <v>KION IND E COM LT</v>
          </cell>
          <cell r="F1003">
            <v>401</v>
          </cell>
          <cell r="G1003">
            <v>44025</v>
          </cell>
          <cell r="H1003">
            <v>668725</v>
          </cell>
          <cell r="I1003" t="str">
            <v>K</v>
          </cell>
          <cell r="J1003">
            <v>-21</v>
          </cell>
          <cell r="K1003">
            <v>100</v>
          </cell>
          <cell r="L1003">
            <v>100</v>
          </cell>
          <cell r="P1003">
            <v>100</v>
          </cell>
          <cell r="Q1003" t="str">
            <v>comprar material</v>
          </cell>
          <cell r="S1003" t="str">
            <v>DF</v>
          </cell>
          <cell r="T1003" t="str">
            <v>DF</v>
          </cell>
        </row>
        <row r="1004">
          <cell r="A1004">
            <v>202618554</v>
          </cell>
          <cell r="B1004" t="str">
            <v>65.519.00064-0</v>
          </cell>
          <cell r="C1004" t="str">
            <v>MOLA ESQ K7 AFD/MMD FLEX  ROHS                      REV-03</v>
          </cell>
          <cell r="D1004" t="str">
            <v>FITA ADESIVA</v>
          </cell>
          <cell r="E1004" t="str">
            <v>KION IND E COM LT</v>
          </cell>
          <cell r="F1004">
            <v>401</v>
          </cell>
          <cell r="G1004">
            <v>44025</v>
          </cell>
          <cell r="H1004">
            <v>668725</v>
          </cell>
          <cell r="I1004" t="str">
            <v>K</v>
          </cell>
          <cell r="J1004">
            <v>-21</v>
          </cell>
          <cell r="K1004">
            <v>100</v>
          </cell>
          <cell r="L1004">
            <v>100</v>
          </cell>
          <cell r="P1004">
            <v>100</v>
          </cell>
          <cell r="Q1004" t="str">
            <v>comprar material</v>
          </cell>
          <cell r="S1004" t="str">
            <v>DF</v>
          </cell>
          <cell r="T1004" t="str">
            <v>DF</v>
          </cell>
        </row>
        <row r="1005">
          <cell r="A1005">
            <v>202618555</v>
          </cell>
          <cell r="B1005" t="str">
            <v>65.519.00064-0</v>
          </cell>
          <cell r="C1005" t="str">
            <v>MOLA ESQ K7 AFD/MMD FLEX  ROHS                      REV-03</v>
          </cell>
          <cell r="D1005" t="str">
            <v>FITA ADESIVA</v>
          </cell>
          <cell r="E1005" t="str">
            <v>KION IND E COM LT</v>
          </cell>
          <cell r="F1005">
            <v>401</v>
          </cell>
          <cell r="G1005">
            <v>44025</v>
          </cell>
          <cell r="H1005">
            <v>668725</v>
          </cell>
          <cell r="I1005" t="str">
            <v>K</v>
          </cell>
          <cell r="J1005">
            <v>-21</v>
          </cell>
          <cell r="K1005">
            <v>100</v>
          </cell>
          <cell r="L1005">
            <v>100</v>
          </cell>
          <cell r="P1005">
            <v>100</v>
          </cell>
          <cell r="Q1005" t="str">
            <v>comprar material</v>
          </cell>
          <cell r="S1005" t="str">
            <v>DF</v>
          </cell>
          <cell r="T1005" t="str">
            <v>DF</v>
          </cell>
        </row>
        <row r="1006">
          <cell r="A1006">
            <v>202618556</v>
          </cell>
          <cell r="B1006" t="str">
            <v>65.519.00064-0</v>
          </cell>
          <cell r="C1006" t="str">
            <v>MOLA ESQ K7 AFD/MMD FLEX  ROHS                      REV-03</v>
          </cell>
          <cell r="D1006" t="str">
            <v>FITA ADESIVA</v>
          </cell>
          <cell r="E1006" t="str">
            <v>KION IND E COM LT</v>
          </cell>
          <cell r="F1006">
            <v>401</v>
          </cell>
          <cell r="G1006">
            <v>44025</v>
          </cell>
          <cell r="H1006">
            <v>668725</v>
          </cell>
          <cell r="I1006" t="str">
            <v>K</v>
          </cell>
          <cell r="J1006">
            <v>-21</v>
          </cell>
          <cell r="K1006">
            <v>100</v>
          </cell>
          <cell r="L1006">
            <v>100</v>
          </cell>
          <cell r="P1006">
            <v>100</v>
          </cell>
          <cell r="Q1006" t="str">
            <v>comprar material</v>
          </cell>
          <cell r="S1006" t="str">
            <v>DF</v>
          </cell>
          <cell r="T1006" t="str">
            <v>DF</v>
          </cell>
        </row>
        <row r="1007">
          <cell r="A1007">
            <v>202618557</v>
          </cell>
          <cell r="B1007" t="str">
            <v>65.519.00064-0</v>
          </cell>
          <cell r="C1007" t="str">
            <v>MOLA ESQ K7 AFD/MMD FLEX  ROHS                      REV-03</v>
          </cell>
          <cell r="D1007" t="str">
            <v>FITA ADESIVA</v>
          </cell>
          <cell r="E1007" t="str">
            <v>KION IND E COM LT</v>
          </cell>
          <cell r="F1007">
            <v>401</v>
          </cell>
          <cell r="G1007">
            <v>44025</v>
          </cell>
          <cell r="H1007">
            <v>668725</v>
          </cell>
          <cell r="I1007" t="str">
            <v>K</v>
          </cell>
          <cell r="J1007">
            <v>-21</v>
          </cell>
          <cell r="K1007">
            <v>100</v>
          </cell>
          <cell r="L1007">
            <v>100</v>
          </cell>
          <cell r="P1007">
            <v>100</v>
          </cell>
          <cell r="Q1007" t="str">
            <v>comprar material</v>
          </cell>
          <cell r="S1007" t="str">
            <v>DF</v>
          </cell>
          <cell r="T1007" t="str">
            <v>DF</v>
          </cell>
        </row>
        <row r="1008">
          <cell r="A1008">
            <v>20363434</v>
          </cell>
          <cell r="B1008" t="str">
            <v>65.611.00002-1</v>
          </cell>
          <cell r="C1008" t="str">
            <v xml:space="preserve">SUP SENS DUPLA DBD PRESENTER                        REV-01  </v>
          </cell>
          <cell r="D1008" t="str">
            <v/>
          </cell>
          <cell r="E1008" t="str">
            <v>KION IND E COM LT</v>
          </cell>
          <cell r="F1008">
            <v>401</v>
          </cell>
          <cell r="G1008">
            <v>44039</v>
          </cell>
          <cell r="H1008">
            <v>668725</v>
          </cell>
          <cell r="I1008" t="str">
            <v>K</v>
          </cell>
          <cell r="J1008">
            <v>-7</v>
          </cell>
          <cell r="K1008">
            <v>40</v>
          </cell>
          <cell r="L1008">
            <v>40</v>
          </cell>
          <cell r="P1008">
            <v>40</v>
          </cell>
          <cell r="Q1008" t="str">
            <v/>
          </cell>
          <cell r="S1008">
            <v>44067</v>
          </cell>
          <cell r="T1008">
            <v>7</v>
          </cell>
        </row>
        <row r="1009">
          <cell r="A1009">
            <v>20363533</v>
          </cell>
          <cell r="B1009" t="str">
            <v>65.611.00003-8</v>
          </cell>
          <cell r="C1009" t="str">
            <v xml:space="preserve">SUP INF SENS DUP DBD PRESENTER                      REV-01  </v>
          </cell>
          <cell r="D1009" t="str">
            <v/>
          </cell>
          <cell r="E1009" t="str">
            <v>KION IND E COM LT</v>
          </cell>
          <cell r="F1009">
            <v>401</v>
          </cell>
          <cell r="G1009">
            <v>44039</v>
          </cell>
          <cell r="H1009">
            <v>668725</v>
          </cell>
          <cell r="I1009" t="str">
            <v>K</v>
          </cell>
          <cell r="J1009">
            <v>-7</v>
          </cell>
          <cell r="K1009">
            <v>45</v>
          </cell>
          <cell r="L1009">
            <v>45</v>
          </cell>
          <cell r="P1009">
            <v>45</v>
          </cell>
          <cell r="Q1009" t="str">
            <v/>
          </cell>
          <cell r="S1009">
            <v>44067</v>
          </cell>
          <cell r="T1009">
            <v>7</v>
          </cell>
        </row>
        <row r="1010">
          <cell r="A1010">
            <v>20363631</v>
          </cell>
          <cell r="B1010" t="str">
            <v>65.611.00004-5</v>
          </cell>
          <cell r="C1010" t="str">
            <v xml:space="preserve">SUP PCI CONT DBD PRESENTER                          REV-00  </v>
          </cell>
          <cell r="D1010" t="str">
            <v/>
          </cell>
          <cell r="E1010" t="str">
            <v>KION IND E COM LT</v>
          </cell>
          <cell r="F1010">
            <v>401</v>
          </cell>
          <cell r="G1010">
            <v>44039</v>
          </cell>
          <cell r="H1010">
            <v>668725</v>
          </cell>
          <cell r="I1010" t="str">
            <v>K</v>
          </cell>
          <cell r="J1010">
            <v>-7</v>
          </cell>
          <cell r="K1010">
            <v>40</v>
          </cell>
          <cell r="L1010">
            <v>40</v>
          </cell>
          <cell r="P1010">
            <v>40</v>
          </cell>
          <cell r="Q1010" t="str">
            <v/>
          </cell>
          <cell r="S1010">
            <v>44067</v>
          </cell>
          <cell r="T1010">
            <v>7</v>
          </cell>
        </row>
        <row r="1011">
          <cell r="A1011">
            <v>1179000036</v>
          </cell>
          <cell r="B1011" t="str">
            <v>65.616.00024-8</v>
          </cell>
          <cell r="C1011" t="str">
            <v xml:space="preserve">BASE DA MOLA IM800 ROHS                             REV-02  </v>
          </cell>
          <cell r="D1011" t="str">
            <v/>
          </cell>
          <cell r="E1011" t="str">
            <v>KION IND E COM LT</v>
          </cell>
          <cell r="F1011">
            <v>401</v>
          </cell>
          <cell r="G1011">
            <v>44019</v>
          </cell>
          <cell r="H1011">
            <v>668725</v>
          </cell>
          <cell r="I1011" t="str">
            <v>K</v>
          </cell>
          <cell r="J1011">
            <v>-27</v>
          </cell>
          <cell r="K1011">
            <v>180</v>
          </cell>
          <cell r="L1011">
            <v>180</v>
          </cell>
          <cell r="P1011">
            <v>180</v>
          </cell>
          <cell r="Q1011" t="str">
            <v/>
          </cell>
          <cell r="S1011">
            <v>44067</v>
          </cell>
          <cell r="T1011">
            <v>7</v>
          </cell>
        </row>
        <row r="1012">
          <cell r="A1012">
            <v>982050371</v>
          </cell>
          <cell r="B1012" t="str">
            <v>65.619.00005-4</v>
          </cell>
          <cell r="C1012" t="str">
            <v>SUP ESQ TOUCH LOTERICAS                             REV-00</v>
          </cell>
          <cell r="D1012" t="str">
            <v/>
          </cell>
          <cell r="E1012" t="str">
            <v>KION IND E COM LT</v>
          </cell>
          <cell r="F1012">
            <v>401</v>
          </cell>
          <cell r="G1012">
            <v>44060</v>
          </cell>
          <cell r="H1012">
            <v>377859</v>
          </cell>
          <cell r="J1012">
            <v>14</v>
          </cell>
          <cell r="K1012">
            <v>1000</v>
          </cell>
          <cell r="L1012">
            <v>1000</v>
          </cell>
          <cell r="P1012">
            <v>1000</v>
          </cell>
          <cell r="Q1012" t="str">
            <v>OP 30/07 - FM</v>
          </cell>
          <cell r="S1012">
            <v>44060</v>
          </cell>
          <cell r="T1012">
            <v>6</v>
          </cell>
        </row>
        <row r="1013">
          <cell r="A1013">
            <v>982050372</v>
          </cell>
          <cell r="B1013" t="str">
            <v>65.619.00005-4</v>
          </cell>
          <cell r="C1013" t="str">
            <v>SUP ESQ TOUCH LOTERICAS                             REV-00</v>
          </cell>
          <cell r="D1013" t="str">
            <v/>
          </cell>
          <cell r="E1013" t="str">
            <v>KION IND E COM LT</v>
          </cell>
          <cell r="F1013">
            <v>401</v>
          </cell>
          <cell r="G1013">
            <v>44067</v>
          </cell>
          <cell r="H1013">
            <v>377859</v>
          </cell>
          <cell r="J1013">
            <v>21</v>
          </cell>
          <cell r="K1013">
            <v>1420</v>
          </cell>
          <cell r="L1013">
            <v>1420</v>
          </cell>
          <cell r="P1013">
            <v>1420</v>
          </cell>
          <cell r="Q1013" t="str">
            <v>OP 30/07 - FM</v>
          </cell>
          <cell r="S1013">
            <v>44067</v>
          </cell>
          <cell r="T1013">
            <v>7</v>
          </cell>
        </row>
        <row r="1014">
          <cell r="A1014">
            <v>982050381</v>
          </cell>
          <cell r="B1014" t="str">
            <v>65.619.00006-1</v>
          </cell>
          <cell r="C1014" t="str">
            <v>SUP DIR TOUCH LOTERICAS ROHS                        REV-00</v>
          </cell>
          <cell r="D1014" t="str">
            <v/>
          </cell>
          <cell r="E1014" t="str">
            <v>KION IND E COM LT</v>
          </cell>
          <cell r="F1014">
            <v>401</v>
          </cell>
          <cell r="G1014">
            <v>44060</v>
          </cell>
          <cell r="H1014">
            <v>377859</v>
          </cell>
          <cell r="J1014">
            <v>14</v>
          </cell>
          <cell r="K1014">
            <v>1000</v>
          </cell>
          <cell r="L1014">
            <v>1000</v>
          </cell>
          <cell r="P1014">
            <v>1000</v>
          </cell>
          <cell r="Q1014" t="str">
            <v>OP 30/07 - FM</v>
          </cell>
          <cell r="S1014">
            <v>44060</v>
          </cell>
          <cell r="T1014">
            <v>6</v>
          </cell>
        </row>
        <row r="1015">
          <cell r="A1015">
            <v>982050382</v>
          </cell>
          <cell r="B1015" t="str">
            <v>65.619.00006-1</v>
          </cell>
          <cell r="C1015" t="str">
            <v>SUP DIR TOUCH LOTERICAS ROHS                        REV-00</v>
          </cell>
          <cell r="D1015" t="str">
            <v/>
          </cell>
          <cell r="E1015" t="str">
            <v>KION IND E COM LT</v>
          </cell>
          <cell r="F1015">
            <v>401</v>
          </cell>
          <cell r="G1015">
            <v>44067</v>
          </cell>
          <cell r="H1015">
            <v>377859</v>
          </cell>
          <cell r="J1015">
            <v>21</v>
          </cell>
          <cell r="K1015">
            <v>1420</v>
          </cell>
          <cell r="L1015">
            <v>1420</v>
          </cell>
          <cell r="P1015">
            <v>1420</v>
          </cell>
          <cell r="Q1015" t="str">
            <v>OP 30/07 - FM</v>
          </cell>
          <cell r="S1015">
            <v>44067</v>
          </cell>
          <cell r="T1015">
            <v>7</v>
          </cell>
        </row>
        <row r="1016">
          <cell r="A1016">
            <v>982091921</v>
          </cell>
          <cell r="B1016" t="str">
            <v>85.900.00153-5</v>
          </cell>
          <cell r="C1016" t="str">
            <v xml:space="preserve">CHAPA ACO 0.3MM P/ 15" BOE HM150X01-N01 LED         REV-00  </v>
          </cell>
          <cell r="D1016" t="str">
            <v/>
          </cell>
          <cell r="E1016" t="str">
            <v>KION IND E COM LT</v>
          </cell>
          <cell r="F1016">
            <v>401</v>
          </cell>
          <cell r="G1016">
            <v>44066</v>
          </cell>
          <cell r="H1016">
            <v>377860</v>
          </cell>
          <cell r="J1016">
            <v>20</v>
          </cell>
          <cell r="K1016">
            <v>2200</v>
          </cell>
          <cell r="L1016">
            <v>2200</v>
          </cell>
          <cell r="P1016">
            <v>2200</v>
          </cell>
          <cell r="Q1016" t="str">
            <v>OP 21/07 - FM</v>
          </cell>
          <cell r="S1016">
            <v>44060</v>
          </cell>
          <cell r="T1016">
            <v>6</v>
          </cell>
        </row>
        <row r="1017">
          <cell r="A1017">
            <v>978164001</v>
          </cell>
          <cell r="B1017" t="str">
            <v>65.116.00432-0</v>
          </cell>
          <cell r="C1017" t="str">
            <v>CORPO JIGA DSM                                      REV-00</v>
          </cell>
          <cell r="D1017" t="str">
            <v/>
          </cell>
          <cell r="E1017" t="str">
            <v>KION IND E COM LT</v>
          </cell>
          <cell r="F1017">
            <v>401</v>
          </cell>
          <cell r="G1017">
            <v>44034</v>
          </cell>
          <cell r="H1017">
            <v>376874</v>
          </cell>
          <cell r="J1017">
            <v>0</v>
          </cell>
          <cell r="K1017">
            <v>2</v>
          </cell>
          <cell r="L1017">
            <v>2</v>
          </cell>
          <cell r="N1017">
            <v>2</v>
          </cell>
          <cell r="P1017">
            <v>0</v>
          </cell>
          <cell r="Q1017" t="str">
            <v>OP 03/06 - FM</v>
          </cell>
          <cell r="T1017" t="str">
            <v>S Con</v>
          </cell>
        </row>
        <row r="1018">
          <cell r="A1018">
            <v>978165001</v>
          </cell>
          <cell r="B1018" t="str">
            <v>65.116.00433-7</v>
          </cell>
          <cell r="C1018" t="str">
            <v>BASE JIGA DSM                                       REV-00</v>
          </cell>
          <cell r="D1018" t="str">
            <v/>
          </cell>
          <cell r="E1018" t="str">
            <v>KION IND E COM LT</v>
          </cell>
          <cell r="F1018">
            <v>401</v>
          </cell>
          <cell r="G1018">
            <v>44034</v>
          </cell>
          <cell r="H1018">
            <v>376874</v>
          </cell>
          <cell r="J1018">
            <v>0</v>
          </cell>
          <cell r="K1018">
            <v>2</v>
          </cell>
          <cell r="L1018">
            <v>2</v>
          </cell>
          <cell r="N1018">
            <v>2</v>
          </cell>
          <cell r="P1018">
            <v>0</v>
          </cell>
          <cell r="Q1018" t="str">
            <v>OP 03/06 - FM</v>
          </cell>
          <cell r="T1018" t="str">
            <v>S Con</v>
          </cell>
        </row>
        <row r="1019">
          <cell r="A1019">
            <v>978166001</v>
          </cell>
          <cell r="B1019" t="str">
            <v>65.116.00440-5</v>
          </cell>
          <cell r="C1019" t="str">
            <v>FRONTAL C/ CHAVE JIGA DSM                           REV-00</v>
          </cell>
          <cell r="D1019" t="str">
            <v/>
          </cell>
          <cell r="E1019" t="str">
            <v>KION IND E COM LT</v>
          </cell>
          <cell r="F1019">
            <v>401</v>
          </cell>
          <cell r="G1019">
            <v>44034</v>
          </cell>
          <cell r="H1019">
            <v>376874</v>
          </cell>
          <cell r="J1019">
            <v>0</v>
          </cell>
          <cell r="K1019">
            <v>2</v>
          </cell>
          <cell r="L1019">
            <v>2</v>
          </cell>
          <cell r="N1019">
            <v>2</v>
          </cell>
          <cell r="P1019">
            <v>0</v>
          </cell>
          <cell r="Q1019" t="str">
            <v>OP 27/05 - FM</v>
          </cell>
          <cell r="T1019" t="str">
            <v>S Con</v>
          </cell>
        </row>
      </sheetData>
      <sheetData sheetId="1"/>
    </sheetDataSet>
  </externalBook>
</externalLink>
</file>

<file path=xl/theme/theme1.xml><?xml version="1.0" encoding="utf-8"?>
<a:theme xmlns:a="http://schemas.openxmlformats.org/drawingml/2006/main" name="Tema do Office">
  <a:themeElements>
    <a:clrScheme name="Escritório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Escritório">
      <a:majorFont>
        <a:latin typeface="Calibri Light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Escritório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dimension ref="A1:S1008"/>
  <sheetViews>
    <sheetView showGridLines="0" tabSelected="1" workbookViewId="0">
      <selection activeCell="U12" sqref="U12"/>
    </sheetView>
  </sheetViews>
  <sheetFormatPr defaultRowHeight="15" x14ac:dyDescent="0.25"/>
  <cols>
    <col min="1" max="1" width="13.140625" style="12" bestFit="1" customWidth="1"/>
    <col min="2" max="2" width="13.5703125" style="12" bestFit="1" customWidth="1"/>
    <col min="3" max="3" width="3.85546875" style="21" bestFit="1" customWidth="1"/>
    <col min="4" max="4" width="6.85546875" style="12" bestFit="1" customWidth="1"/>
    <col min="5" max="5" width="4.140625" style="12" customWidth="1"/>
    <col min="6" max="6" width="6" style="12" customWidth="1"/>
    <col min="7" max="7" width="4.85546875" style="12" bestFit="1" customWidth="1"/>
    <col min="8" max="8" width="7.28515625" style="12" bestFit="1" customWidth="1"/>
    <col min="9" max="9" width="5.85546875" style="12" bestFit="1" customWidth="1"/>
    <col min="10" max="10" width="5.28515625" style="12" bestFit="1" customWidth="1"/>
    <col min="11" max="11" width="5" style="12" bestFit="1" customWidth="1"/>
    <col min="12" max="12" width="10.140625" style="12" bestFit="1" customWidth="1"/>
    <col min="13" max="13" width="25.5703125" style="12" customWidth="1"/>
    <col min="14" max="14" width="12.7109375" style="12" customWidth="1"/>
    <col min="15" max="15" width="12.7109375" style="18" customWidth="1"/>
    <col min="16" max="16" width="12.7109375" style="19" customWidth="1"/>
    <col min="17" max="17" width="8.42578125" style="12" bestFit="1" customWidth="1"/>
    <col min="18" max="18" width="8.7109375" style="12" bestFit="1" customWidth="1"/>
    <col min="19" max="19" width="9" style="12" customWidth="1"/>
    <col min="20" max="16384" width="9.140625" style="12"/>
  </cols>
  <sheetData>
    <row r="1" spans="1:19" ht="38.25" x14ac:dyDescent="0.25">
      <c r="A1" s="5" t="s">
        <v>16</v>
      </c>
      <c r="B1" s="5" t="s">
        <v>15</v>
      </c>
      <c r="C1" s="5" t="s">
        <v>318</v>
      </c>
      <c r="D1" s="2" t="s">
        <v>14</v>
      </c>
      <c r="E1" s="2" t="s">
        <v>13</v>
      </c>
      <c r="F1" s="2" t="s">
        <v>12</v>
      </c>
      <c r="G1" s="2" t="s">
        <v>8</v>
      </c>
      <c r="H1" s="2" t="s">
        <v>11</v>
      </c>
      <c r="I1" s="2" t="s">
        <v>10</v>
      </c>
      <c r="J1" s="2" t="s">
        <v>9</v>
      </c>
      <c r="K1" s="2" t="s">
        <v>8</v>
      </c>
      <c r="L1" s="6" t="s">
        <v>20</v>
      </c>
      <c r="M1" s="4" t="s">
        <v>7</v>
      </c>
      <c r="N1" s="4" t="s">
        <v>17</v>
      </c>
      <c r="O1" s="7" t="s">
        <v>18</v>
      </c>
      <c r="P1" s="8" t="s">
        <v>19</v>
      </c>
      <c r="Q1" s="3" t="s">
        <v>66</v>
      </c>
      <c r="R1" s="2" t="s">
        <v>321</v>
      </c>
      <c r="S1" s="2" t="s">
        <v>6</v>
      </c>
    </row>
    <row r="2" spans="1:19" x14ac:dyDescent="0.25">
      <c r="A2" s="1"/>
      <c r="B2" s="1"/>
      <c r="C2" s="20"/>
      <c r="D2" s="1"/>
      <c r="E2" s="1"/>
      <c r="F2" s="1"/>
      <c r="G2" s="1"/>
      <c r="H2" s="1"/>
      <c r="I2" s="1"/>
      <c r="J2" s="1"/>
      <c r="K2" s="1"/>
      <c r="M2" s="9"/>
      <c r="N2" s="9"/>
      <c r="O2" s="10"/>
      <c r="P2" s="11"/>
      <c r="Q2" s="1"/>
      <c r="R2" s="1"/>
      <c r="S2" s="1"/>
    </row>
    <row r="3" spans="1:19" x14ac:dyDescent="0.25">
      <c r="A3" s="13">
        <v>132911</v>
      </c>
      <c r="B3" s="27" t="s">
        <v>295</v>
      </c>
      <c r="C3" s="28">
        <v>1</v>
      </c>
      <c r="D3" s="13">
        <v>389802</v>
      </c>
      <c r="E3" s="13" t="s">
        <v>2</v>
      </c>
      <c r="F3" s="13">
        <v>100</v>
      </c>
      <c r="G3" s="13">
        <v>100</v>
      </c>
      <c r="H3" s="13"/>
      <c r="I3" s="13"/>
      <c r="J3" s="13"/>
      <c r="K3" s="13">
        <v>100</v>
      </c>
      <c r="L3" s="22" t="s">
        <v>21</v>
      </c>
      <c r="M3" s="13"/>
      <c r="N3" s="13">
        <f>IFERROR(VLOOKUP($A:$A,[1]KION_IND_E_COM_LT!$A:$T,18,0),"")</f>
        <v>0</v>
      </c>
      <c r="O3" s="14">
        <v>1</v>
      </c>
      <c r="P3" s="15">
        <f t="shared" ref="P3:P66" si="0">K3*O3</f>
        <v>100</v>
      </c>
      <c r="Q3" s="16">
        <v>44081</v>
      </c>
      <c r="R3" s="17">
        <v>8</v>
      </c>
      <c r="S3" s="13" t="s">
        <v>0</v>
      </c>
    </row>
    <row r="4" spans="1:19" x14ac:dyDescent="0.25">
      <c r="A4" s="13">
        <v>133471</v>
      </c>
      <c r="B4" s="27" t="s">
        <v>295</v>
      </c>
      <c r="C4" s="28">
        <v>1</v>
      </c>
      <c r="D4" s="13">
        <v>390336</v>
      </c>
      <c r="E4" s="13" t="s">
        <v>2</v>
      </c>
      <c r="F4" s="13">
        <v>100</v>
      </c>
      <c r="G4" s="13">
        <v>100</v>
      </c>
      <c r="H4" s="13"/>
      <c r="I4" s="13"/>
      <c r="J4" s="13"/>
      <c r="K4" s="13">
        <v>100</v>
      </c>
      <c r="L4" s="13"/>
      <c r="M4" s="13" t="s">
        <v>23</v>
      </c>
      <c r="N4" s="13">
        <f>IFERROR(VLOOKUP($A:$A,[1]KION_IND_E_COM_LT!$A:$T,18,0),"")</f>
        <v>0</v>
      </c>
      <c r="O4" s="14">
        <v>1</v>
      </c>
      <c r="P4" s="15">
        <f t="shared" si="0"/>
        <v>100</v>
      </c>
      <c r="Q4" s="16" t="s">
        <v>3</v>
      </c>
      <c r="R4" s="17" t="s">
        <v>3</v>
      </c>
      <c r="S4" s="13" t="s">
        <v>0</v>
      </c>
    </row>
    <row r="5" spans="1:19" x14ac:dyDescent="0.25">
      <c r="A5" s="13">
        <v>2042187</v>
      </c>
      <c r="B5" s="27" t="s">
        <v>306</v>
      </c>
      <c r="C5" s="28">
        <v>6</v>
      </c>
      <c r="D5" s="13">
        <v>681202</v>
      </c>
      <c r="E5" s="13" t="s">
        <v>2</v>
      </c>
      <c r="F5" s="13">
        <v>100</v>
      </c>
      <c r="G5" s="13">
        <v>100</v>
      </c>
      <c r="H5" s="13"/>
      <c r="I5" s="13"/>
      <c r="J5" s="13"/>
      <c r="K5" s="13">
        <v>100</v>
      </c>
      <c r="L5" s="22" t="s">
        <v>21</v>
      </c>
      <c r="M5" s="30" t="s">
        <v>22</v>
      </c>
      <c r="N5" s="22" t="s">
        <v>64</v>
      </c>
      <c r="O5" s="14">
        <v>1</v>
      </c>
      <c r="P5" s="15">
        <f t="shared" si="0"/>
        <v>100</v>
      </c>
      <c r="Q5" s="16" t="s">
        <v>4</v>
      </c>
      <c r="R5" s="17">
        <v>2</v>
      </c>
      <c r="S5" s="13" t="s">
        <v>1</v>
      </c>
    </row>
    <row r="6" spans="1:19" x14ac:dyDescent="0.25">
      <c r="A6" s="13">
        <v>2042188</v>
      </c>
      <c r="B6" s="27" t="s">
        <v>306</v>
      </c>
      <c r="C6" s="28">
        <v>6</v>
      </c>
      <c r="D6" s="13">
        <v>681202</v>
      </c>
      <c r="E6" s="13" t="s">
        <v>2</v>
      </c>
      <c r="F6" s="13">
        <v>100</v>
      </c>
      <c r="G6" s="13">
        <v>100</v>
      </c>
      <c r="H6" s="13"/>
      <c r="I6" s="13"/>
      <c r="J6" s="13"/>
      <c r="K6" s="13">
        <v>100</v>
      </c>
      <c r="L6" s="22" t="s">
        <v>21</v>
      </c>
      <c r="M6" s="30" t="s">
        <v>22</v>
      </c>
      <c r="N6" s="22" t="s">
        <v>64</v>
      </c>
      <c r="O6" s="14">
        <v>1</v>
      </c>
      <c r="P6" s="15">
        <f t="shared" si="0"/>
        <v>100</v>
      </c>
      <c r="Q6" s="16" t="s">
        <v>4</v>
      </c>
      <c r="R6" s="17">
        <v>2</v>
      </c>
      <c r="S6" s="13" t="s">
        <v>1</v>
      </c>
    </row>
    <row r="7" spans="1:19" x14ac:dyDescent="0.25">
      <c r="A7" s="13">
        <v>2042189</v>
      </c>
      <c r="B7" s="27" t="s">
        <v>306</v>
      </c>
      <c r="C7" s="28">
        <v>6</v>
      </c>
      <c r="D7" s="13">
        <v>681202</v>
      </c>
      <c r="E7" s="13" t="s">
        <v>2</v>
      </c>
      <c r="F7" s="13">
        <v>100</v>
      </c>
      <c r="G7" s="13">
        <v>100</v>
      </c>
      <c r="H7" s="13"/>
      <c r="I7" s="13"/>
      <c r="J7" s="13"/>
      <c r="K7" s="13">
        <v>100</v>
      </c>
      <c r="L7" s="22" t="s">
        <v>21</v>
      </c>
      <c r="M7" s="30" t="s">
        <v>22</v>
      </c>
      <c r="N7" s="22" t="s">
        <v>65</v>
      </c>
      <c r="O7" s="14">
        <v>1</v>
      </c>
      <c r="P7" s="15">
        <f t="shared" si="0"/>
        <v>100</v>
      </c>
      <c r="Q7" s="16" t="s">
        <v>4</v>
      </c>
      <c r="R7" s="17">
        <v>3</v>
      </c>
      <c r="S7" s="13" t="s">
        <v>1</v>
      </c>
    </row>
    <row r="8" spans="1:19" x14ac:dyDescent="0.25">
      <c r="A8" s="13">
        <v>2042190</v>
      </c>
      <c r="B8" s="27" t="s">
        <v>306</v>
      </c>
      <c r="C8" s="28">
        <v>6</v>
      </c>
      <c r="D8" s="13">
        <v>681202</v>
      </c>
      <c r="E8" s="13" t="s">
        <v>2</v>
      </c>
      <c r="F8" s="13">
        <v>100</v>
      </c>
      <c r="G8" s="13">
        <v>100</v>
      </c>
      <c r="H8" s="13"/>
      <c r="I8" s="13"/>
      <c r="J8" s="13"/>
      <c r="K8" s="13">
        <v>100</v>
      </c>
      <c r="L8" s="22" t="s">
        <v>21</v>
      </c>
      <c r="M8" s="30" t="s">
        <v>22</v>
      </c>
      <c r="N8" s="22" t="s">
        <v>65</v>
      </c>
      <c r="O8" s="14">
        <v>1</v>
      </c>
      <c r="P8" s="15">
        <f t="shared" si="0"/>
        <v>100</v>
      </c>
      <c r="Q8" s="16" t="s">
        <v>4</v>
      </c>
      <c r="R8" s="17">
        <v>3</v>
      </c>
      <c r="S8" s="13" t="s">
        <v>1</v>
      </c>
    </row>
    <row r="9" spans="1:19" x14ac:dyDescent="0.25">
      <c r="A9" s="13">
        <v>2042191</v>
      </c>
      <c r="B9" s="27" t="s">
        <v>306</v>
      </c>
      <c r="C9" s="28">
        <v>6</v>
      </c>
      <c r="D9" s="13">
        <v>681202</v>
      </c>
      <c r="E9" s="13" t="s">
        <v>2</v>
      </c>
      <c r="F9" s="13">
        <v>100</v>
      </c>
      <c r="G9" s="13">
        <v>100</v>
      </c>
      <c r="H9" s="13"/>
      <c r="I9" s="13"/>
      <c r="J9" s="13"/>
      <c r="K9" s="13">
        <v>100</v>
      </c>
      <c r="L9" s="22" t="s">
        <v>21</v>
      </c>
      <c r="M9" s="30" t="s">
        <v>22</v>
      </c>
      <c r="N9" s="22" t="s">
        <v>65</v>
      </c>
      <c r="O9" s="14">
        <v>1</v>
      </c>
      <c r="P9" s="15">
        <f t="shared" si="0"/>
        <v>100</v>
      </c>
      <c r="Q9" s="16">
        <v>44053</v>
      </c>
      <c r="R9" s="17">
        <v>4</v>
      </c>
      <c r="S9" s="13" t="s">
        <v>1</v>
      </c>
    </row>
    <row r="10" spans="1:19" x14ac:dyDescent="0.25">
      <c r="A10" s="13">
        <v>2042192</v>
      </c>
      <c r="B10" s="27" t="s">
        <v>306</v>
      </c>
      <c r="C10" s="28">
        <v>6</v>
      </c>
      <c r="D10" s="13">
        <v>681202</v>
      </c>
      <c r="E10" s="13" t="s">
        <v>2</v>
      </c>
      <c r="F10" s="13">
        <v>100</v>
      </c>
      <c r="G10" s="13">
        <v>100</v>
      </c>
      <c r="H10" s="13"/>
      <c r="I10" s="13"/>
      <c r="J10" s="13"/>
      <c r="K10" s="13">
        <v>100</v>
      </c>
      <c r="L10" s="22" t="s">
        <v>21</v>
      </c>
      <c r="M10" s="30" t="s">
        <v>22</v>
      </c>
      <c r="N10" s="22" t="s">
        <v>65</v>
      </c>
      <c r="O10" s="14">
        <v>1</v>
      </c>
      <c r="P10" s="15">
        <f t="shared" si="0"/>
        <v>100</v>
      </c>
      <c r="Q10" s="16">
        <v>44053</v>
      </c>
      <c r="R10" s="17">
        <v>4</v>
      </c>
      <c r="S10" s="13" t="s">
        <v>1</v>
      </c>
    </row>
    <row r="11" spans="1:19" x14ac:dyDescent="0.25">
      <c r="A11" s="13">
        <v>2042193</v>
      </c>
      <c r="B11" s="27" t="s">
        <v>306</v>
      </c>
      <c r="C11" s="28">
        <v>6</v>
      </c>
      <c r="D11" s="13">
        <v>681202</v>
      </c>
      <c r="E11" s="13" t="s">
        <v>2</v>
      </c>
      <c r="F11" s="13">
        <v>100</v>
      </c>
      <c r="G11" s="13">
        <v>100</v>
      </c>
      <c r="H11" s="13"/>
      <c r="I11" s="13"/>
      <c r="J11" s="13"/>
      <c r="K11" s="13">
        <v>100</v>
      </c>
      <c r="L11" s="22" t="s">
        <v>21</v>
      </c>
      <c r="M11" s="22" t="s">
        <v>56</v>
      </c>
      <c r="N11" s="22" t="s">
        <v>65</v>
      </c>
      <c r="O11" s="14">
        <v>1</v>
      </c>
      <c r="P11" s="15">
        <f t="shared" si="0"/>
        <v>100</v>
      </c>
      <c r="Q11" s="16">
        <v>44067</v>
      </c>
      <c r="R11" s="17">
        <v>6</v>
      </c>
      <c r="S11" s="13" t="s">
        <v>1</v>
      </c>
    </row>
    <row r="12" spans="1:19" x14ac:dyDescent="0.25">
      <c r="A12" s="13">
        <v>2042194</v>
      </c>
      <c r="B12" s="27" t="s">
        <v>306</v>
      </c>
      <c r="C12" s="28">
        <v>6</v>
      </c>
      <c r="D12" s="13">
        <v>681202</v>
      </c>
      <c r="E12" s="13" t="s">
        <v>2</v>
      </c>
      <c r="F12" s="13">
        <v>100</v>
      </c>
      <c r="G12" s="13">
        <v>100</v>
      </c>
      <c r="H12" s="13"/>
      <c r="I12" s="13"/>
      <c r="J12" s="13"/>
      <c r="K12" s="13">
        <v>100</v>
      </c>
      <c r="L12" s="22" t="s">
        <v>21</v>
      </c>
      <c r="M12" s="13" t="s">
        <v>56</v>
      </c>
      <c r="N12" s="22" t="s">
        <v>65</v>
      </c>
      <c r="O12" s="14">
        <v>1</v>
      </c>
      <c r="P12" s="15">
        <f t="shared" si="0"/>
        <v>100</v>
      </c>
      <c r="Q12" s="16">
        <v>44067</v>
      </c>
      <c r="R12" s="17">
        <v>6</v>
      </c>
      <c r="S12" s="13" t="s">
        <v>1</v>
      </c>
    </row>
    <row r="13" spans="1:19" x14ac:dyDescent="0.25">
      <c r="A13" s="13">
        <v>2042195</v>
      </c>
      <c r="B13" s="27" t="s">
        <v>306</v>
      </c>
      <c r="C13" s="28">
        <v>6</v>
      </c>
      <c r="D13" s="13">
        <v>681202</v>
      </c>
      <c r="E13" s="13" t="s">
        <v>2</v>
      </c>
      <c r="F13" s="13">
        <v>100</v>
      </c>
      <c r="G13" s="13">
        <v>100</v>
      </c>
      <c r="H13" s="13"/>
      <c r="I13" s="13"/>
      <c r="J13" s="13"/>
      <c r="K13" s="13">
        <v>100</v>
      </c>
      <c r="L13" s="22" t="s">
        <v>21</v>
      </c>
      <c r="M13" s="13" t="s">
        <v>56</v>
      </c>
      <c r="N13" s="22" t="s">
        <v>65</v>
      </c>
      <c r="O13" s="14">
        <v>1</v>
      </c>
      <c r="P13" s="15">
        <f t="shared" si="0"/>
        <v>100</v>
      </c>
      <c r="Q13" s="16">
        <v>44067</v>
      </c>
      <c r="R13" s="17">
        <v>6</v>
      </c>
      <c r="S13" s="13" t="s">
        <v>1</v>
      </c>
    </row>
    <row r="14" spans="1:19" x14ac:dyDescent="0.25">
      <c r="A14" s="13">
        <v>2042196</v>
      </c>
      <c r="B14" s="27" t="s">
        <v>306</v>
      </c>
      <c r="C14" s="28">
        <v>6</v>
      </c>
      <c r="D14" s="13">
        <v>681202</v>
      </c>
      <c r="E14" s="13" t="s">
        <v>2</v>
      </c>
      <c r="F14" s="13">
        <v>100</v>
      </c>
      <c r="G14" s="13">
        <v>100</v>
      </c>
      <c r="H14" s="13"/>
      <c r="I14" s="13"/>
      <c r="J14" s="13"/>
      <c r="K14" s="13">
        <v>100</v>
      </c>
      <c r="L14" s="22" t="s">
        <v>21</v>
      </c>
      <c r="M14" s="13" t="s">
        <v>56</v>
      </c>
      <c r="N14" s="13">
        <f>IFERROR(VLOOKUP($A:$A,[1]KION_IND_E_COM_LT!$A:$T,18,0),"")</f>
        <v>0</v>
      </c>
      <c r="O14" s="14">
        <v>1</v>
      </c>
      <c r="P14" s="15">
        <f t="shared" si="0"/>
        <v>100</v>
      </c>
      <c r="Q14" s="16">
        <v>44074</v>
      </c>
      <c r="R14" s="17">
        <v>7</v>
      </c>
      <c r="S14" s="13" t="s">
        <v>1</v>
      </c>
    </row>
    <row r="15" spans="1:19" x14ac:dyDescent="0.25">
      <c r="A15" s="13">
        <v>2042197</v>
      </c>
      <c r="B15" s="27" t="s">
        <v>306</v>
      </c>
      <c r="C15" s="28">
        <v>6</v>
      </c>
      <c r="D15" s="13">
        <v>681202</v>
      </c>
      <c r="E15" s="13" t="s">
        <v>2</v>
      </c>
      <c r="F15" s="13">
        <v>100</v>
      </c>
      <c r="G15" s="13">
        <v>100</v>
      </c>
      <c r="H15" s="13"/>
      <c r="I15" s="13"/>
      <c r="J15" s="13"/>
      <c r="K15" s="13">
        <v>100</v>
      </c>
      <c r="L15" s="22" t="s">
        <v>21</v>
      </c>
      <c r="M15" s="13" t="s">
        <v>56</v>
      </c>
      <c r="N15" s="13">
        <f>IFERROR(VLOOKUP($A:$A,[1]KION_IND_E_COM_LT!$A:$T,18,0),"")</f>
        <v>0</v>
      </c>
      <c r="O15" s="14">
        <v>1</v>
      </c>
      <c r="P15" s="15">
        <f t="shared" si="0"/>
        <v>100</v>
      </c>
      <c r="Q15" s="16">
        <v>44074</v>
      </c>
      <c r="R15" s="17">
        <v>7</v>
      </c>
      <c r="S15" s="13" t="s">
        <v>1</v>
      </c>
    </row>
    <row r="16" spans="1:19" x14ac:dyDescent="0.25">
      <c r="A16" s="13">
        <v>2042198</v>
      </c>
      <c r="B16" s="27" t="s">
        <v>306</v>
      </c>
      <c r="C16" s="28">
        <v>6</v>
      </c>
      <c r="D16" s="13">
        <v>681202</v>
      </c>
      <c r="E16" s="13" t="s">
        <v>2</v>
      </c>
      <c r="F16" s="13">
        <v>100</v>
      </c>
      <c r="G16" s="13">
        <v>100</v>
      </c>
      <c r="H16" s="13"/>
      <c r="I16" s="13"/>
      <c r="J16" s="13"/>
      <c r="K16" s="13">
        <v>100</v>
      </c>
      <c r="L16" s="22" t="s">
        <v>21</v>
      </c>
      <c r="M16" s="13" t="s">
        <v>56</v>
      </c>
      <c r="N16" s="13">
        <f>IFERROR(VLOOKUP($A:$A,[1]KION_IND_E_COM_LT!$A:$T,18,0),"")</f>
        <v>0</v>
      </c>
      <c r="O16" s="14">
        <v>1</v>
      </c>
      <c r="P16" s="15">
        <f t="shared" si="0"/>
        <v>100</v>
      </c>
      <c r="Q16" s="16">
        <v>44081</v>
      </c>
      <c r="R16" s="17">
        <v>8</v>
      </c>
      <c r="S16" s="13" t="s">
        <v>1</v>
      </c>
    </row>
    <row r="17" spans="1:19" x14ac:dyDescent="0.25">
      <c r="A17" s="13">
        <v>2042199</v>
      </c>
      <c r="B17" s="27" t="s">
        <v>306</v>
      </c>
      <c r="C17" s="28">
        <v>6</v>
      </c>
      <c r="D17" s="13">
        <v>681202</v>
      </c>
      <c r="E17" s="13" t="s">
        <v>2</v>
      </c>
      <c r="F17" s="13">
        <v>100</v>
      </c>
      <c r="G17" s="13">
        <v>100</v>
      </c>
      <c r="H17" s="13"/>
      <c r="I17" s="13"/>
      <c r="J17" s="13"/>
      <c r="K17" s="13">
        <v>100</v>
      </c>
      <c r="L17" s="22" t="s">
        <v>21</v>
      </c>
      <c r="M17" s="13" t="s">
        <v>56</v>
      </c>
      <c r="N17" s="13">
        <f>IFERROR(VLOOKUP($A:$A,[1]KION_IND_E_COM_LT!$A:$T,18,0),"")</f>
        <v>0</v>
      </c>
      <c r="O17" s="14">
        <v>1</v>
      </c>
      <c r="P17" s="15">
        <f t="shared" si="0"/>
        <v>100</v>
      </c>
      <c r="Q17" s="16">
        <v>44081</v>
      </c>
      <c r="R17" s="17">
        <v>8</v>
      </c>
      <c r="S17" s="13" t="s">
        <v>1</v>
      </c>
    </row>
    <row r="18" spans="1:19" x14ac:dyDescent="0.25">
      <c r="A18" s="13">
        <v>2042200</v>
      </c>
      <c r="B18" s="27" t="s">
        <v>306</v>
      </c>
      <c r="C18" s="28">
        <v>6</v>
      </c>
      <c r="D18" s="13">
        <v>681202</v>
      </c>
      <c r="E18" s="13" t="s">
        <v>2</v>
      </c>
      <c r="F18" s="13">
        <v>100</v>
      </c>
      <c r="G18" s="13">
        <v>100</v>
      </c>
      <c r="H18" s="13"/>
      <c r="I18" s="13"/>
      <c r="J18" s="13"/>
      <c r="K18" s="13">
        <v>100</v>
      </c>
      <c r="L18" s="22" t="s">
        <v>21</v>
      </c>
      <c r="M18" s="13" t="s">
        <v>56</v>
      </c>
      <c r="N18" s="13">
        <f>IFERROR(VLOOKUP($A:$A,[1]KION_IND_E_COM_LT!$A:$T,18,0),"")</f>
        <v>0</v>
      </c>
      <c r="O18" s="14">
        <v>1</v>
      </c>
      <c r="P18" s="15">
        <f t="shared" si="0"/>
        <v>100</v>
      </c>
      <c r="Q18" s="16">
        <v>44081</v>
      </c>
      <c r="R18" s="17">
        <v>8</v>
      </c>
      <c r="S18" s="13" t="s">
        <v>1</v>
      </c>
    </row>
    <row r="19" spans="1:19" x14ac:dyDescent="0.25">
      <c r="A19" s="13">
        <v>2042201</v>
      </c>
      <c r="B19" s="27" t="s">
        <v>306</v>
      </c>
      <c r="C19" s="28">
        <v>6</v>
      </c>
      <c r="D19" s="13">
        <v>681202</v>
      </c>
      <c r="E19" s="13" t="s">
        <v>2</v>
      </c>
      <c r="F19" s="13">
        <v>100</v>
      </c>
      <c r="G19" s="13">
        <v>100</v>
      </c>
      <c r="H19" s="13"/>
      <c r="I19" s="13"/>
      <c r="J19" s="13"/>
      <c r="K19" s="13">
        <v>100</v>
      </c>
      <c r="L19" s="22" t="s">
        <v>21</v>
      </c>
      <c r="M19" s="13" t="s">
        <v>56</v>
      </c>
      <c r="N19" s="13">
        <f>IFERROR(VLOOKUP($A:$A,[1]KION_IND_E_COM_LT!$A:$T,18,0),"")</f>
        <v>0</v>
      </c>
      <c r="O19" s="14">
        <v>1</v>
      </c>
      <c r="P19" s="15">
        <f t="shared" si="0"/>
        <v>100</v>
      </c>
      <c r="Q19" s="16">
        <v>44081</v>
      </c>
      <c r="R19" s="17">
        <v>8</v>
      </c>
      <c r="S19" s="13" t="s">
        <v>1</v>
      </c>
    </row>
    <row r="20" spans="1:19" x14ac:dyDescent="0.25">
      <c r="A20" s="13">
        <v>2042202</v>
      </c>
      <c r="B20" s="27" t="s">
        <v>306</v>
      </c>
      <c r="C20" s="28">
        <v>6</v>
      </c>
      <c r="D20" s="13">
        <v>681202</v>
      </c>
      <c r="E20" s="13" t="s">
        <v>2</v>
      </c>
      <c r="F20" s="13">
        <v>100</v>
      </c>
      <c r="G20" s="13">
        <v>100</v>
      </c>
      <c r="H20" s="13"/>
      <c r="I20" s="13"/>
      <c r="J20" s="13"/>
      <c r="K20" s="13">
        <v>100</v>
      </c>
      <c r="L20" s="22" t="s">
        <v>21</v>
      </c>
      <c r="M20" s="13" t="s">
        <v>56</v>
      </c>
      <c r="N20" s="13">
        <f>IFERROR(VLOOKUP($A:$A,[1]KION_IND_E_COM_LT!$A:$T,18,0),"")</f>
        <v>0</v>
      </c>
      <c r="O20" s="14">
        <v>1</v>
      </c>
      <c r="P20" s="15">
        <f t="shared" si="0"/>
        <v>100</v>
      </c>
      <c r="Q20" s="16">
        <v>44088</v>
      </c>
      <c r="R20" s="17">
        <v>9</v>
      </c>
      <c r="S20" s="13" t="s">
        <v>1</v>
      </c>
    </row>
    <row r="21" spans="1:19" x14ac:dyDescent="0.25">
      <c r="A21" s="13">
        <v>2042203</v>
      </c>
      <c r="B21" s="27" t="s">
        <v>306</v>
      </c>
      <c r="C21" s="28">
        <v>6</v>
      </c>
      <c r="D21" s="13">
        <v>681202</v>
      </c>
      <c r="E21" s="13" t="s">
        <v>2</v>
      </c>
      <c r="F21" s="13">
        <v>100</v>
      </c>
      <c r="G21" s="13">
        <v>100</v>
      </c>
      <c r="H21" s="13"/>
      <c r="I21" s="13"/>
      <c r="J21" s="13"/>
      <c r="K21" s="13">
        <v>100</v>
      </c>
      <c r="L21" s="22"/>
      <c r="M21" s="13" t="s">
        <v>23</v>
      </c>
      <c r="N21" s="13" t="str">
        <f>IFERROR(VLOOKUP($A:$A,[1]KION_IND_E_COM_LT!$A:$T,18,0),"")</f>
        <v/>
      </c>
      <c r="O21" s="14">
        <v>1</v>
      </c>
      <c r="P21" s="15">
        <f t="shared" si="0"/>
        <v>100</v>
      </c>
      <c r="Q21" s="16">
        <v>44088</v>
      </c>
      <c r="R21" s="17">
        <v>9</v>
      </c>
      <c r="S21" s="13" t="s">
        <v>1</v>
      </c>
    </row>
    <row r="22" spans="1:19" x14ac:dyDescent="0.25">
      <c r="A22" s="13">
        <v>20256371</v>
      </c>
      <c r="B22" s="27" t="s">
        <v>76</v>
      </c>
      <c r="C22" s="28">
        <v>6</v>
      </c>
      <c r="D22" s="13">
        <v>681202</v>
      </c>
      <c r="E22" s="13" t="s">
        <v>2</v>
      </c>
      <c r="F22" s="13">
        <v>20</v>
      </c>
      <c r="G22" s="13">
        <v>20</v>
      </c>
      <c r="H22" s="13"/>
      <c r="I22" s="13"/>
      <c r="J22" s="13"/>
      <c r="K22" s="13">
        <v>20</v>
      </c>
      <c r="L22" s="22"/>
      <c r="M22" s="13" t="s">
        <v>23</v>
      </c>
      <c r="N22" s="13">
        <f>IFERROR(VLOOKUP($A:$A,[1]KION_IND_E_COM_LT!$A:$T,18,0),"")</f>
        <v>0</v>
      </c>
      <c r="O22" s="14">
        <v>1</v>
      </c>
      <c r="P22" s="15">
        <f t="shared" si="0"/>
        <v>20</v>
      </c>
      <c r="Q22" s="16">
        <v>44081</v>
      </c>
      <c r="R22" s="17">
        <v>8</v>
      </c>
      <c r="S22" s="13" t="s">
        <v>0</v>
      </c>
    </row>
    <row r="23" spans="1:19" x14ac:dyDescent="0.25">
      <c r="A23" s="13">
        <v>20266861</v>
      </c>
      <c r="B23" s="27" t="s">
        <v>117</v>
      </c>
      <c r="C23" s="28">
        <v>0</v>
      </c>
      <c r="D23" s="13">
        <v>681202</v>
      </c>
      <c r="E23" s="13" t="s">
        <v>2</v>
      </c>
      <c r="F23" s="13">
        <v>30</v>
      </c>
      <c r="G23" s="13">
        <v>30</v>
      </c>
      <c r="H23" s="13"/>
      <c r="I23" s="13"/>
      <c r="J23" s="13"/>
      <c r="K23" s="13">
        <v>30</v>
      </c>
      <c r="L23" s="22" t="s">
        <v>21</v>
      </c>
      <c r="M23" s="22" t="s">
        <v>27</v>
      </c>
      <c r="N23" s="13"/>
      <c r="O23" s="14">
        <v>1</v>
      </c>
      <c r="P23" s="15">
        <f t="shared" si="0"/>
        <v>30</v>
      </c>
      <c r="Q23" s="16">
        <v>44081</v>
      </c>
      <c r="R23" s="17">
        <v>8</v>
      </c>
      <c r="S23" s="13" t="s">
        <v>0</v>
      </c>
    </row>
    <row r="24" spans="1:19" x14ac:dyDescent="0.25">
      <c r="A24" s="13">
        <v>20362294</v>
      </c>
      <c r="B24" s="27" t="s">
        <v>80</v>
      </c>
      <c r="C24" s="28">
        <v>1</v>
      </c>
      <c r="D24" s="13">
        <v>681202</v>
      </c>
      <c r="E24" s="13" t="s">
        <v>2</v>
      </c>
      <c r="F24" s="13">
        <v>100</v>
      </c>
      <c r="G24" s="13">
        <v>100</v>
      </c>
      <c r="H24" s="13"/>
      <c r="I24" s="13"/>
      <c r="J24" s="13">
        <v>100</v>
      </c>
      <c r="K24" s="13">
        <v>0</v>
      </c>
      <c r="L24" s="22" t="s">
        <v>21</v>
      </c>
      <c r="M24" s="13" t="s">
        <v>320</v>
      </c>
      <c r="N24" s="13">
        <f>IFERROR(VLOOKUP($A:$A,[1]KION_IND_E_COM_LT!$A:$T,18,0),"")</f>
        <v>0</v>
      </c>
      <c r="O24" s="14"/>
      <c r="P24" s="15">
        <f t="shared" si="0"/>
        <v>0</v>
      </c>
      <c r="Q24" s="16"/>
      <c r="R24" s="17" t="s">
        <v>3</v>
      </c>
      <c r="S24" s="13" t="s">
        <v>0</v>
      </c>
    </row>
    <row r="25" spans="1:19" x14ac:dyDescent="0.25">
      <c r="A25" s="13">
        <v>20362295</v>
      </c>
      <c r="B25" s="27" t="s">
        <v>80</v>
      </c>
      <c r="C25" s="28">
        <v>1</v>
      </c>
      <c r="D25" s="13">
        <v>681202</v>
      </c>
      <c r="E25" s="13" t="s">
        <v>2</v>
      </c>
      <c r="F25" s="13">
        <v>150</v>
      </c>
      <c r="G25" s="13">
        <v>150</v>
      </c>
      <c r="H25" s="13"/>
      <c r="I25" s="13"/>
      <c r="J25" s="13">
        <v>150</v>
      </c>
      <c r="K25" s="13">
        <v>0</v>
      </c>
      <c r="L25" s="22" t="s">
        <v>21</v>
      </c>
      <c r="M25" s="13" t="s">
        <v>320</v>
      </c>
      <c r="N25" s="13">
        <f>IFERROR(VLOOKUP($A:$A,[1]KION_IND_E_COM_LT!$A:$T,18,0),"")</f>
        <v>0</v>
      </c>
      <c r="O25" s="14"/>
      <c r="P25" s="15">
        <f t="shared" si="0"/>
        <v>0</v>
      </c>
      <c r="Q25" s="16"/>
      <c r="R25" s="17" t="s">
        <v>3</v>
      </c>
      <c r="S25" s="13" t="s">
        <v>0</v>
      </c>
    </row>
    <row r="26" spans="1:19" x14ac:dyDescent="0.25">
      <c r="A26" s="13">
        <v>20362296</v>
      </c>
      <c r="B26" s="27" t="s">
        <v>80</v>
      </c>
      <c r="C26" s="28">
        <v>1</v>
      </c>
      <c r="D26" s="13">
        <v>681202</v>
      </c>
      <c r="E26" s="13" t="s">
        <v>2</v>
      </c>
      <c r="F26" s="13">
        <v>10</v>
      </c>
      <c r="G26" s="13">
        <v>10</v>
      </c>
      <c r="H26" s="13"/>
      <c r="I26" s="13"/>
      <c r="J26" s="13">
        <v>10</v>
      </c>
      <c r="K26" s="13">
        <v>0</v>
      </c>
      <c r="L26" s="22" t="s">
        <v>21</v>
      </c>
      <c r="M26" s="13" t="s">
        <v>320</v>
      </c>
      <c r="N26" s="13">
        <f>IFERROR(VLOOKUP($A:$A,[1]KION_IND_E_COM_LT!$A:$T,18,0),"")</f>
        <v>0</v>
      </c>
      <c r="O26" s="14"/>
      <c r="P26" s="15">
        <f t="shared" si="0"/>
        <v>0</v>
      </c>
      <c r="Q26" s="16"/>
      <c r="R26" s="17" t="s">
        <v>3</v>
      </c>
      <c r="S26" s="13" t="s">
        <v>0</v>
      </c>
    </row>
    <row r="27" spans="1:19" x14ac:dyDescent="0.25">
      <c r="A27" s="13">
        <v>20363134</v>
      </c>
      <c r="B27" s="27" t="s">
        <v>203</v>
      </c>
      <c r="C27" s="28">
        <v>2</v>
      </c>
      <c r="D27" s="13">
        <v>681202</v>
      </c>
      <c r="E27" s="13" t="s">
        <v>2</v>
      </c>
      <c r="F27" s="13">
        <v>35</v>
      </c>
      <c r="G27" s="13">
        <v>35</v>
      </c>
      <c r="H27" s="13"/>
      <c r="I27" s="13"/>
      <c r="J27" s="13"/>
      <c r="K27" s="13">
        <v>35</v>
      </c>
      <c r="L27" s="22"/>
      <c r="M27" s="13" t="s">
        <v>23</v>
      </c>
      <c r="N27" s="13">
        <f>IFERROR(VLOOKUP($A:$A,[1]KION_IND_E_COM_LT!$A:$T,18,0),"")</f>
        <v>0</v>
      </c>
      <c r="O27" s="14">
        <v>1</v>
      </c>
      <c r="P27" s="15">
        <f t="shared" si="0"/>
        <v>35</v>
      </c>
      <c r="Q27" s="16">
        <v>44067</v>
      </c>
      <c r="R27" s="17">
        <v>6</v>
      </c>
      <c r="S27" s="13" t="s">
        <v>0</v>
      </c>
    </row>
    <row r="28" spans="1:19" x14ac:dyDescent="0.25">
      <c r="A28" s="13">
        <v>20363233</v>
      </c>
      <c r="B28" s="27" t="s">
        <v>204</v>
      </c>
      <c r="C28" s="28">
        <v>1</v>
      </c>
      <c r="D28" s="13">
        <v>681202</v>
      </c>
      <c r="E28" s="13" t="s">
        <v>2</v>
      </c>
      <c r="F28" s="13">
        <v>40</v>
      </c>
      <c r="G28" s="13">
        <v>40</v>
      </c>
      <c r="H28" s="13"/>
      <c r="I28" s="13"/>
      <c r="J28" s="13"/>
      <c r="K28" s="13">
        <v>40</v>
      </c>
      <c r="L28" s="22"/>
      <c r="M28" s="13" t="s">
        <v>23</v>
      </c>
      <c r="N28" s="13">
        <f>IFERROR(VLOOKUP($A:$A,[1]KION_IND_E_COM_LT!$A:$T,18,0),"")</f>
        <v>0</v>
      </c>
      <c r="O28" s="14">
        <v>1</v>
      </c>
      <c r="P28" s="15">
        <f t="shared" si="0"/>
        <v>40</v>
      </c>
      <c r="Q28" s="16">
        <v>44067</v>
      </c>
      <c r="R28" s="17">
        <v>6</v>
      </c>
      <c r="S28" s="13" t="s">
        <v>0</v>
      </c>
    </row>
    <row r="29" spans="1:19" x14ac:dyDescent="0.25">
      <c r="A29" s="13">
        <v>20363434</v>
      </c>
      <c r="B29" s="27" t="s">
        <v>312</v>
      </c>
      <c r="C29" s="28">
        <v>1</v>
      </c>
      <c r="D29" s="13">
        <v>681202</v>
      </c>
      <c r="E29" s="13" t="s">
        <v>2</v>
      </c>
      <c r="F29" s="13">
        <v>40</v>
      </c>
      <c r="G29" s="13">
        <v>40</v>
      </c>
      <c r="H29" s="13"/>
      <c r="I29" s="13"/>
      <c r="J29" s="13"/>
      <c r="K29" s="13">
        <v>40</v>
      </c>
      <c r="L29" s="22"/>
      <c r="M29" s="13" t="s">
        <v>23</v>
      </c>
      <c r="N29" s="13">
        <f>IFERROR(VLOOKUP($A:$A,[1]KION_IND_E_COM_LT!$A:$T,18,0),"")</f>
        <v>0</v>
      </c>
      <c r="O29" s="14">
        <v>1</v>
      </c>
      <c r="P29" s="15">
        <f t="shared" si="0"/>
        <v>40</v>
      </c>
      <c r="Q29" s="16">
        <v>44067</v>
      </c>
      <c r="R29" s="17">
        <v>6</v>
      </c>
      <c r="S29" s="13" t="s">
        <v>1</v>
      </c>
    </row>
    <row r="30" spans="1:19" x14ac:dyDescent="0.25">
      <c r="A30" s="13">
        <v>20363533</v>
      </c>
      <c r="B30" s="27" t="s">
        <v>313</v>
      </c>
      <c r="C30" s="28">
        <v>1</v>
      </c>
      <c r="D30" s="13">
        <v>681202</v>
      </c>
      <c r="E30" s="13" t="s">
        <v>2</v>
      </c>
      <c r="F30" s="13">
        <v>45</v>
      </c>
      <c r="G30" s="13">
        <v>45</v>
      </c>
      <c r="H30" s="13"/>
      <c r="I30" s="13"/>
      <c r="J30" s="13"/>
      <c r="K30" s="13">
        <v>45</v>
      </c>
      <c r="L30" s="22"/>
      <c r="M30" s="13" t="s">
        <v>23</v>
      </c>
      <c r="N30" s="13">
        <f>IFERROR(VLOOKUP($A:$A,[1]KION_IND_E_COM_LT!$A:$T,18,0),"")</f>
        <v>0</v>
      </c>
      <c r="O30" s="14">
        <v>1</v>
      </c>
      <c r="P30" s="15">
        <f t="shared" si="0"/>
        <v>45</v>
      </c>
      <c r="Q30" s="16">
        <v>44067</v>
      </c>
      <c r="R30" s="17">
        <v>6</v>
      </c>
      <c r="S30" s="13" t="s">
        <v>1</v>
      </c>
    </row>
    <row r="31" spans="1:19" x14ac:dyDescent="0.25">
      <c r="A31" s="13">
        <v>20363631</v>
      </c>
      <c r="B31" s="27" t="s">
        <v>314</v>
      </c>
      <c r="C31" s="28">
        <v>0</v>
      </c>
      <c r="D31" s="13">
        <v>681202</v>
      </c>
      <c r="E31" s="13" t="s">
        <v>2</v>
      </c>
      <c r="F31" s="13">
        <v>40</v>
      </c>
      <c r="G31" s="13">
        <v>40</v>
      </c>
      <c r="H31" s="13"/>
      <c r="I31" s="13"/>
      <c r="J31" s="13"/>
      <c r="K31" s="13">
        <v>40</v>
      </c>
      <c r="L31" s="22"/>
      <c r="M31" s="13" t="s">
        <v>23</v>
      </c>
      <c r="N31" s="13">
        <f>IFERROR(VLOOKUP($A:$A,[1]KION_IND_E_COM_LT!$A:$T,18,0),"")</f>
        <v>0</v>
      </c>
      <c r="O31" s="14">
        <v>1</v>
      </c>
      <c r="P31" s="15">
        <f t="shared" si="0"/>
        <v>40</v>
      </c>
      <c r="Q31" s="16">
        <v>44067</v>
      </c>
      <c r="R31" s="17">
        <v>6</v>
      </c>
      <c r="S31" s="13" t="s">
        <v>1</v>
      </c>
    </row>
    <row r="32" spans="1:19" x14ac:dyDescent="0.25">
      <c r="A32" s="13">
        <v>67882001</v>
      </c>
      <c r="B32" s="27" t="s">
        <v>101</v>
      </c>
      <c r="C32" s="28">
        <v>1</v>
      </c>
      <c r="D32" s="13">
        <v>352344</v>
      </c>
      <c r="E32" s="13"/>
      <c r="F32" s="13">
        <v>5</v>
      </c>
      <c r="G32" s="13">
        <v>1</v>
      </c>
      <c r="H32" s="13"/>
      <c r="I32" s="13"/>
      <c r="J32" s="13"/>
      <c r="K32" s="13">
        <v>1</v>
      </c>
      <c r="L32" s="22"/>
      <c r="M32" s="13"/>
      <c r="N32" s="13">
        <f>IFERROR(VLOOKUP($A:$A,[1]KION_IND_E_COM_LT!$A:$T,18,0),"")</f>
        <v>0</v>
      </c>
      <c r="O32" s="14">
        <v>1</v>
      </c>
      <c r="P32" s="15">
        <f t="shared" si="0"/>
        <v>1</v>
      </c>
      <c r="Q32" s="16"/>
      <c r="R32" s="17" t="s">
        <v>5</v>
      </c>
      <c r="S32" s="13" t="s">
        <v>0</v>
      </c>
    </row>
    <row r="33" spans="1:19" x14ac:dyDescent="0.25">
      <c r="A33" s="13">
        <v>119828001</v>
      </c>
      <c r="B33" s="27" t="s">
        <v>97</v>
      </c>
      <c r="C33" s="28">
        <v>0</v>
      </c>
      <c r="D33" s="13">
        <v>363328</v>
      </c>
      <c r="E33" s="13"/>
      <c r="F33" s="13">
        <v>10</v>
      </c>
      <c r="G33" s="13">
        <v>10</v>
      </c>
      <c r="H33" s="13"/>
      <c r="I33" s="13"/>
      <c r="J33" s="13"/>
      <c r="K33" s="13">
        <v>10</v>
      </c>
      <c r="L33" s="22"/>
      <c r="M33" s="13"/>
      <c r="N33" s="13">
        <f>IFERROR(VLOOKUP($A:$A,[1]KION_IND_E_COM_LT!$A:$T,18,0),"")</f>
        <v>0</v>
      </c>
      <c r="O33" s="14">
        <v>1</v>
      </c>
      <c r="P33" s="15">
        <f t="shared" si="0"/>
        <v>10</v>
      </c>
      <c r="Q33" s="16"/>
      <c r="R33" s="17" t="s">
        <v>5</v>
      </c>
      <c r="S33" s="13" t="s">
        <v>0</v>
      </c>
    </row>
    <row r="34" spans="1:19" x14ac:dyDescent="0.25">
      <c r="A34" s="13">
        <v>142214001</v>
      </c>
      <c r="B34" s="27" t="s">
        <v>154</v>
      </c>
      <c r="C34" s="28">
        <v>0</v>
      </c>
      <c r="D34" s="13">
        <v>368562</v>
      </c>
      <c r="E34" s="13"/>
      <c r="F34" s="13">
        <v>300</v>
      </c>
      <c r="G34" s="13">
        <v>2</v>
      </c>
      <c r="H34" s="13"/>
      <c r="I34" s="13"/>
      <c r="J34" s="13"/>
      <c r="K34" s="13">
        <v>2</v>
      </c>
      <c r="L34" s="22"/>
      <c r="M34" s="13"/>
      <c r="N34" s="13">
        <f>IFERROR(VLOOKUP($A:$A,[1]KION_IND_E_COM_LT!$A:$T,18,0),"")</f>
        <v>0</v>
      </c>
      <c r="O34" s="14">
        <v>1</v>
      </c>
      <c r="P34" s="15">
        <f t="shared" si="0"/>
        <v>2</v>
      </c>
      <c r="Q34" s="16"/>
      <c r="R34" s="17" t="s">
        <v>5</v>
      </c>
      <c r="S34" s="13" t="s">
        <v>0</v>
      </c>
    </row>
    <row r="35" spans="1:19" x14ac:dyDescent="0.25">
      <c r="A35" s="13">
        <v>143197001</v>
      </c>
      <c r="B35" s="27" t="s">
        <v>118</v>
      </c>
      <c r="C35" s="28">
        <v>1</v>
      </c>
      <c r="D35" s="13">
        <v>368562</v>
      </c>
      <c r="E35" s="13"/>
      <c r="F35" s="13">
        <v>500</v>
      </c>
      <c r="G35" s="13">
        <v>32</v>
      </c>
      <c r="H35" s="13"/>
      <c r="I35" s="13"/>
      <c r="J35" s="13"/>
      <c r="K35" s="13">
        <v>32</v>
      </c>
      <c r="L35" s="22"/>
      <c r="M35" s="13"/>
      <c r="N35" s="13">
        <f>IFERROR(VLOOKUP($A:$A,[1]KION_IND_E_COM_LT!$A:$T,18,0),"")</f>
        <v>0</v>
      </c>
      <c r="O35" s="14">
        <v>1</v>
      </c>
      <c r="P35" s="15">
        <f t="shared" si="0"/>
        <v>32</v>
      </c>
      <c r="Q35" s="16"/>
      <c r="R35" s="17" t="s">
        <v>5</v>
      </c>
      <c r="S35" s="13" t="s">
        <v>0</v>
      </c>
    </row>
    <row r="36" spans="1:19" x14ac:dyDescent="0.25">
      <c r="A36" s="13">
        <v>143282001</v>
      </c>
      <c r="B36" s="27" t="s">
        <v>178</v>
      </c>
      <c r="C36" s="28">
        <v>1</v>
      </c>
      <c r="D36" s="13">
        <v>368562</v>
      </c>
      <c r="E36" s="13"/>
      <c r="F36" s="13">
        <v>460</v>
      </c>
      <c r="G36" s="13">
        <v>3</v>
      </c>
      <c r="H36" s="13"/>
      <c r="I36" s="13"/>
      <c r="J36" s="13"/>
      <c r="K36" s="13">
        <v>3</v>
      </c>
      <c r="L36" s="22"/>
      <c r="M36" s="13"/>
      <c r="N36" s="13">
        <f>IFERROR(VLOOKUP($A:$A,[1]KION_IND_E_COM_LT!$A:$T,18,0),"")</f>
        <v>0</v>
      </c>
      <c r="O36" s="14">
        <v>1</v>
      </c>
      <c r="P36" s="15">
        <f t="shared" si="0"/>
        <v>3</v>
      </c>
      <c r="Q36" s="16"/>
      <c r="R36" s="17" t="s">
        <v>5</v>
      </c>
      <c r="S36" s="13" t="s">
        <v>0</v>
      </c>
    </row>
    <row r="37" spans="1:19" x14ac:dyDescent="0.25">
      <c r="A37" s="13">
        <v>159150004</v>
      </c>
      <c r="B37" s="27" t="s">
        <v>284</v>
      </c>
      <c r="C37" s="28">
        <v>0</v>
      </c>
      <c r="D37" s="13">
        <v>371476</v>
      </c>
      <c r="E37" s="13"/>
      <c r="F37" s="13">
        <v>300</v>
      </c>
      <c r="G37" s="13">
        <v>3</v>
      </c>
      <c r="H37" s="13"/>
      <c r="I37" s="13"/>
      <c r="J37" s="13"/>
      <c r="K37" s="13">
        <v>3</v>
      </c>
      <c r="L37" s="22"/>
      <c r="M37" s="13"/>
      <c r="N37" s="13">
        <f>IFERROR(VLOOKUP($A:$A,[1]KION_IND_E_COM_LT!$A:$T,18,0),"")</f>
        <v>0</v>
      </c>
      <c r="O37" s="14">
        <v>1</v>
      </c>
      <c r="P37" s="15">
        <f t="shared" si="0"/>
        <v>3</v>
      </c>
      <c r="Q37" s="16"/>
      <c r="R37" s="17" t="s">
        <v>5</v>
      </c>
      <c r="S37" s="13" t="s">
        <v>0</v>
      </c>
    </row>
    <row r="38" spans="1:19" x14ac:dyDescent="0.25">
      <c r="A38" s="13">
        <v>173592001</v>
      </c>
      <c r="B38" s="27" t="s">
        <v>219</v>
      </c>
      <c r="C38" s="28">
        <v>0</v>
      </c>
      <c r="D38" s="13">
        <v>374871</v>
      </c>
      <c r="E38" s="13"/>
      <c r="F38" s="13">
        <v>10</v>
      </c>
      <c r="G38" s="13">
        <v>10</v>
      </c>
      <c r="H38" s="13"/>
      <c r="I38" s="13"/>
      <c r="J38" s="13"/>
      <c r="K38" s="13">
        <v>10</v>
      </c>
      <c r="L38" s="22"/>
      <c r="M38" s="13"/>
      <c r="N38" s="13">
        <f>IFERROR(VLOOKUP($A:$A,[1]KION_IND_E_COM_LT!$A:$T,18,0),"")</f>
        <v>0</v>
      </c>
      <c r="O38" s="14">
        <v>1</v>
      </c>
      <c r="P38" s="15">
        <f t="shared" si="0"/>
        <v>10</v>
      </c>
      <c r="Q38" s="16"/>
      <c r="R38" s="17" t="s">
        <v>5</v>
      </c>
      <c r="S38" s="13" t="s">
        <v>0</v>
      </c>
    </row>
    <row r="39" spans="1:19" x14ac:dyDescent="0.25">
      <c r="A39" s="13">
        <v>181441002</v>
      </c>
      <c r="B39" s="27" t="s">
        <v>67</v>
      </c>
      <c r="C39" s="28">
        <v>3</v>
      </c>
      <c r="D39" s="13">
        <v>376589</v>
      </c>
      <c r="E39" s="13"/>
      <c r="F39" s="13">
        <v>150</v>
      </c>
      <c r="G39" s="13">
        <v>150</v>
      </c>
      <c r="H39" s="13"/>
      <c r="I39" s="13"/>
      <c r="J39" s="13"/>
      <c r="K39" s="13">
        <v>150</v>
      </c>
      <c r="L39" s="22"/>
      <c r="M39" s="13"/>
      <c r="N39" s="13">
        <f>IFERROR(VLOOKUP($A:$A,[1]KION_IND_E_COM_LT!$A:$T,18,0),"")</f>
        <v>0</v>
      </c>
      <c r="O39" s="14">
        <v>1</v>
      </c>
      <c r="P39" s="15">
        <f t="shared" si="0"/>
        <v>150</v>
      </c>
      <c r="Q39" s="16" t="s">
        <v>3</v>
      </c>
      <c r="R39" s="17" t="s">
        <v>3</v>
      </c>
      <c r="S39" s="13" t="s">
        <v>0</v>
      </c>
    </row>
    <row r="40" spans="1:19" x14ac:dyDescent="0.25">
      <c r="A40" s="13">
        <v>201215151</v>
      </c>
      <c r="B40" s="27" t="s">
        <v>71</v>
      </c>
      <c r="C40" s="28">
        <v>1</v>
      </c>
      <c r="D40" s="13">
        <v>681202</v>
      </c>
      <c r="E40" s="13" t="s">
        <v>2</v>
      </c>
      <c r="F40" s="13">
        <v>100</v>
      </c>
      <c r="G40" s="13">
        <v>100</v>
      </c>
      <c r="H40" s="13"/>
      <c r="I40" s="13"/>
      <c r="J40" s="13">
        <v>100</v>
      </c>
      <c r="K40" s="13">
        <v>0</v>
      </c>
      <c r="L40" s="22" t="s">
        <v>21</v>
      </c>
      <c r="M40" s="13" t="s">
        <v>320</v>
      </c>
      <c r="N40" s="13">
        <f>IFERROR(VLOOKUP($A:$A,[1]KION_IND_E_COM_LT!$A:$T,18,0),"")</f>
        <v>0</v>
      </c>
      <c r="O40" s="14"/>
      <c r="P40" s="15">
        <f t="shared" si="0"/>
        <v>0</v>
      </c>
      <c r="Q40" s="16"/>
      <c r="R40" s="17">
        <v>6</v>
      </c>
      <c r="S40" s="13" t="s">
        <v>0</v>
      </c>
    </row>
    <row r="41" spans="1:19" x14ac:dyDescent="0.25">
      <c r="A41" s="13">
        <v>201215155</v>
      </c>
      <c r="B41" s="27" t="s">
        <v>71</v>
      </c>
      <c r="C41" s="28">
        <v>1</v>
      </c>
      <c r="D41" s="13">
        <v>681202</v>
      </c>
      <c r="E41" s="13" t="s">
        <v>2</v>
      </c>
      <c r="F41" s="13">
        <v>100</v>
      </c>
      <c r="G41" s="13">
        <v>100</v>
      </c>
      <c r="H41" s="13"/>
      <c r="I41" s="13">
        <v>100</v>
      </c>
      <c r="J41" s="13"/>
      <c r="K41" s="13">
        <v>0</v>
      </c>
      <c r="L41" s="22" t="s">
        <v>21</v>
      </c>
      <c r="M41" s="13" t="s">
        <v>25</v>
      </c>
      <c r="N41" s="13">
        <f>IFERROR(VLOOKUP($A:$A,[1]KION_IND_E_COM_LT!$A:$T,18,0),"")</f>
        <v>0</v>
      </c>
      <c r="O41" s="14"/>
      <c r="P41" s="15">
        <f t="shared" si="0"/>
        <v>0</v>
      </c>
      <c r="Q41" s="16"/>
      <c r="R41" s="17">
        <v>6</v>
      </c>
      <c r="S41" s="13" t="s">
        <v>0</v>
      </c>
    </row>
    <row r="42" spans="1:19" x14ac:dyDescent="0.25">
      <c r="A42" s="13">
        <v>201215156</v>
      </c>
      <c r="B42" s="27" t="s">
        <v>71</v>
      </c>
      <c r="C42" s="28">
        <v>1</v>
      </c>
      <c r="D42" s="13">
        <v>681202</v>
      </c>
      <c r="E42" s="13" t="s">
        <v>2</v>
      </c>
      <c r="F42" s="13">
        <v>100</v>
      </c>
      <c r="G42" s="13">
        <v>100</v>
      </c>
      <c r="H42" s="13"/>
      <c r="I42" s="13"/>
      <c r="J42" s="13"/>
      <c r="K42" s="13">
        <v>100</v>
      </c>
      <c r="L42" s="22" t="s">
        <v>21</v>
      </c>
      <c r="M42" s="13" t="s">
        <v>320</v>
      </c>
      <c r="N42" s="22" t="s">
        <v>65</v>
      </c>
      <c r="O42" s="14">
        <v>1</v>
      </c>
      <c r="P42" s="15">
        <f t="shared" si="0"/>
        <v>100</v>
      </c>
      <c r="Q42" s="16">
        <v>44067</v>
      </c>
      <c r="R42" s="17">
        <v>6</v>
      </c>
      <c r="S42" s="13" t="s">
        <v>0</v>
      </c>
    </row>
    <row r="43" spans="1:19" x14ac:dyDescent="0.25">
      <c r="A43" s="13">
        <v>201215157</v>
      </c>
      <c r="B43" s="27" t="s">
        <v>71</v>
      </c>
      <c r="C43" s="28">
        <v>1</v>
      </c>
      <c r="D43" s="13">
        <v>681202</v>
      </c>
      <c r="E43" s="13" t="s">
        <v>2</v>
      </c>
      <c r="F43" s="13">
        <v>100</v>
      </c>
      <c r="G43" s="13">
        <v>100</v>
      </c>
      <c r="H43" s="13"/>
      <c r="I43" s="13"/>
      <c r="J43" s="13"/>
      <c r="K43" s="13">
        <v>100</v>
      </c>
      <c r="L43" s="22" t="s">
        <v>21</v>
      </c>
      <c r="M43" s="13" t="s">
        <v>61</v>
      </c>
      <c r="N43" s="13">
        <f>IFERROR(VLOOKUP($A:$A,[1]KION_IND_E_COM_LT!$A:$T,18,0),"")</f>
        <v>0</v>
      </c>
      <c r="O43" s="14">
        <v>1</v>
      </c>
      <c r="P43" s="15">
        <f t="shared" si="0"/>
        <v>100</v>
      </c>
      <c r="Q43" s="16">
        <v>44074</v>
      </c>
      <c r="R43" s="17">
        <v>7</v>
      </c>
      <c r="S43" s="13" t="s">
        <v>0</v>
      </c>
    </row>
    <row r="44" spans="1:19" x14ac:dyDescent="0.25">
      <c r="A44" s="13">
        <v>201215158</v>
      </c>
      <c r="B44" s="27" t="s">
        <v>71</v>
      </c>
      <c r="C44" s="28">
        <v>1</v>
      </c>
      <c r="D44" s="13">
        <v>681202</v>
      </c>
      <c r="E44" s="13" t="s">
        <v>2</v>
      </c>
      <c r="F44" s="13">
        <v>100</v>
      </c>
      <c r="G44" s="13">
        <v>100</v>
      </c>
      <c r="H44" s="13"/>
      <c r="I44" s="13"/>
      <c r="J44" s="13"/>
      <c r="K44" s="13">
        <v>100</v>
      </c>
      <c r="L44" s="22" t="s">
        <v>21</v>
      </c>
      <c r="M44" s="13" t="s">
        <v>61</v>
      </c>
      <c r="N44" s="13">
        <f>IFERROR(VLOOKUP($A:$A,[1]KION_IND_E_COM_LT!$A:$T,18,0),"")</f>
        <v>0</v>
      </c>
      <c r="O44" s="14">
        <v>1</v>
      </c>
      <c r="P44" s="15">
        <f t="shared" si="0"/>
        <v>100</v>
      </c>
      <c r="Q44" s="16">
        <v>44081</v>
      </c>
      <c r="R44" s="17">
        <v>8</v>
      </c>
      <c r="S44" s="13" t="s">
        <v>0</v>
      </c>
    </row>
    <row r="45" spans="1:19" x14ac:dyDescent="0.25">
      <c r="A45" s="13">
        <v>201215159</v>
      </c>
      <c r="B45" s="27" t="s">
        <v>71</v>
      </c>
      <c r="C45" s="28">
        <v>1</v>
      </c>
      <c r="D45" s="13">
        <v>681202</v>
      </c>
      <c r="E45" s="13" t="s">
        <v>2</v>
      </c>
      <c r="F45" s="13">
        <v>100</v>
      </c>
      <c r="G45" s="13">
        <v>100</v>
      </c>
      <c r="H45" s="13"/>
      <c r="I45" s="13"/>
      <c r="J45" s="13"/>
      <c r="K45" s="13">
        <v>100</v>
      </c>
      <c r="L45" s="22" t="s">
        <v>21</v>
      </c>
      <c r="M45" s="13" t="s">
        <v>61</v>
      </c>
      <c r="N45" s="13">
        <f>IFERROR(VLOOKUP($A:$A,[1]KION_IND_E_COM_LT!$A:$T,18,0),"")</f>
        <v>0</v>
      </c>
      <c r="O45" s="14">
        <v>1</v>
      </c>
      <c r="P45" s="15">
        <f t="shared" si="0"/>
        <v>100</v>
      </c>
      <c r="Q45" s="16">
        <v>44081</v>
      </c>
      <c r="R45" s="17">
        <v>8</v>
      </c>
      <c r="S45" s="13" t="s">
        <v>0</v>
      </c>
    </row>
    <row r="46" spans="1:19" x14ac:dyDescent="0.25">
      <c r="A46" s="13">
        <v>201215160</v>
      </c>
      <c r="B46" s="27" t="s">
        <v>71</v>
      </c>
      <c r="C46" s="28">
        <v>1</v>
      </c>
      <c r="D46" s="13">
        <v>681202</v>
      </c>
      <c r="E46" s="13" t="s">
        <v>2</v>
      </c>
      <c r="F46" s="13">
        <v>100</v>
      </c>
      <c r="G46" s="13">
        <v>100</v>
      </c>
      <c r="H46" s="13"/>
      <c r="I46" s="13"/>
      <c r="J46" s="13"/>
      <c r="K46" s="13">
        <v>100</v>
      </c>
      <c r="L46" s="22" t="s">
        <v>21</v>
      </c>
      <c r="M46" s="13" t="s">
        <v>61</v>
      </c>
      <c r="N46" s="13">
        <f>IFERROR(VLOOKUP($A:$A,[1]KION_IND_E_COM_LT!$A:$T,18,0),"")</f>
        <v>0</v>
      </c>
      <c r="O46" s="14">
        <v>1</v>
      </c>
      <c r="P46" s="15">
        <f t="shared" si="0"/>
        <v>100</v>
      </c>
      <c r="Q46" s="16">
        <v>44081</v>
      </c>
      <c r="R46" s="17">
        <v>8</v>
      </c>
      <c r="S46" s="13" t="s">
        <v>0</v>
      </c>
    </row>
    <row r="47" spans="1:19" x14ac:dyDescent="0.25">
      <c r="A47" s="13">
        <v>201255355</v>
      </c>
      <c r="B47" s="27" t="s">
        <v>70</v>
      </c>
      <c r="C47" s="28">
        <v>0</v>
      </c>
      <c r="D47" s="13">
        <v>681202</v>
      </c>
      <c r="E47" s="13" t="s">
        <v>2</v>
      </c>
      <c r="F47" s="13">
        <v>100</v>
      </c>
      <c r="G47" s="13">
        <v>100</v>
      </c>
      <c r="H47" s="13"/>
      <c r="I47" s="13"/>
      <c r="J47" s="13">
        <v>100</v>
      </c>
      <c r="K47" s="13">
        <v>0</v>
      </c>
      <c r="L47" s="22" t="s">
        <v>21</v>
      </c>
      <c r="M47" s="13" t="s">
        <v>320</v>
      </c>
      <c r="N47" s="13">
        <f>IFERROR(VLOOKUP($A:$A,[1]KION_IND_E_COM_LT!$A:$T,18,0),"")</f>
        <v>0</v>
      </c>
      <c r="O47" s="14"/>
      <c r="P47" s="15">
        <f t="shared" si="0"/>
        <v>0</v>
      </c>
      <c r="Q47" s="16"/>
      <c r="R47" s="17">
        <v>6</v>
      </c>
      <c r="S47" s="13" t="s">
        <v>0</v>
      </c>
    </row>
    <row r="48" spans="1:19" x14ac:dyDescent="0.25">
      <c r="A48" s="13">
        <v>201255356</v>
      </c>
      <c r="B48" s="27" t="s">
        <v>70</v>
      </c>
      <c r="C48" s="28">
        <v>0</v>
      </c>
      <c r="D48" s="13">
        <v>681202</v>
      </c>
      <c r="E48" s="13" t="s">
        <v>2</v>
      </c>
      <c r="F48" s="13">
        <v>100</v>
      </c>
      <c r="G48" s="13">
        <v>100</v>
      </c>
      <c r="H48" s="13"/>
      <c r="I48" s="13"/>
      <c r="J48" s="13">
        <v>100</v>
      </c>
      <c r="K48" s="13">
        <v>0</v>
      </c>
      <c r="L48" s="22" t="s">
        <v>21</v>
      </c>
      <c r="M48" s="13" t="s">
        <v>320</v>
      </c>
      <c r="N48" s="13">
        <f>IFERROR(VLOOKUP($A:$A,[1]KION_IND_E_COM_LT!$A:$T,18,0),"")</f>
        <v>0</v>
      </c>
      <c r="O48" s="14"/>
      <c r="P48" s="15">
        <f t="shared" si="0"/>
        <v>0</v>
      </c>
      <c r="Q48" s="16"/>
      <c r="R48" s="17">
        <v>6</v>
      </c>
      <c r="S48" s="13" t="s">
        <v>0</v>
      </c>
    </row>
    <row r="49" spans="1:19" x14ac:dyDescent="0.25">
      <c r="A49" s="13">
        <v>201255357</v>
      </c>
      <c r="B49" s="27" t="s">
        <v>70</v>
      </c>
      <c r="C49" s="28">
        <v>0</v>
      </c>
      <c r="D49" s="13">
        <v>681202</v>
      </c>
      <c r="E49" s="13" t="s">
        <v>2</v>
      </c>
      <c r="F49" s="13">
        <v>100</v>
      </c>
      <c r="G49" s="13">
        <v>100</v>
      </c>
      <c r="H49" s="13"/>
      <c r="I49" s="13"/>
      <c r="J49" s="13"/>
      <c r="K49" s="13">
        <v>100</v>
      </c>
      <c r="L49" s="22" t="s">
        <v>21</v>
      </c>
      <c r="M49" s="22" t="s">
        <v>61</v>
      </c>
      <c r="N49" s="13">
        <f>IFERROR(VLOOKUP($A:$A,[1]KION_IND_E_COM_LT!$A:$T,18,0),"")</f>
        <v>0</v>
      </c>
      <c r="O49" s="14">
        <v>1</v>
      </c>
      <c r="P49" s="15">
        <f t="shared" si="0"/>
        <v>100</v>
      </c>
      <c r="Q49" s="16">
        <v>44067</v>
      </c>
      <c r="R49" s="17">
        <v>6</v>
      </c>
      <c r="S49" s="13" t="s">
        <v>0</v>
      </c>
    </row>
    <row r="50" spans="1:19" x14ac:dyDescent="0.25">
      <c r="A50" s="13">
        <v>201255358</v>
      </c>
      <c r="B50" s="27" t="s">
        <v>70</v>
      </c>
      <c r="C50" s="28">
        <v>0</v>
      </c>
      <c r="D50" s="13">
        <v>681202</v>
      </c>
      <c r="E50" s="13" t="s">
        <v>2</v>
      </c>
      <c r="F50" s="13">
        <v>100</v>
      </c>
      <c r="G50" s="13">
        <v>100</v>
      </c>
      <c r="H50" s="13"/>
      <c r="I50" s="13"/>
      <c r="J50" s="13"/>
      <c r="K50" s="13">
        <v>100</v>
      </c>
      <c r="L50" s="22" t="s">
        <v>21</v>
      </c>
      <c r="M50" s="22" t="s">
        <v>61</v>
      </c>
      <c r="N50" s="13">
        <f>IFERROR(VLOOKUP($A:$A,[1]KION_IND_E_COM_LT!$A:$T,18,0),"")</f>
        <v>0</v>
      </c>
      <c r="O50" s="14">
        <v>1</v>
      </c>
      <c r="P50" s="15">
        <f t="shared" si="0"/>
        <v>100</v>
      </c>
      <c r="Q50" s="16">
        <v>44067</v>
      </c>
      <c r="R50" s="17">
        <v>6</v>
      </c>
      <c r="S50" s="13" t="s">
        <v>0</v>
      </c>
    </row>
    <row r="51" spans="1:19" x14ac:dyDescent="0.25">
      <c r="A51" s="13">
        <v>201255359</v>
      </c>
      <c r="B51" s="27" t="s">
        <v>70</v>
      </c>
      <c r="C51" s="28">
        <v>0</v>
      </c>
      <c r="D51" s="13">
        <v>681202</v>
      </c>
      <c r="E51" s="13" t="s">
        <v>2</v>
      </c>
      <c r="F51" s="13">
        <v>100</v>
      </c>
      <c r="G51" s="13">
        <v>100</v>
      </c>
      <c r="H51" s="13"/>
      <c r="I51" s="13"/>
      <c r="J51" s="13"/>
      <c r="K51" s="13">
        <v>100</v>
      </c>
      <c r="L51" s="22" t="s">
        <v>21</v>
      </c>
      <c r="M51" s="13" t="s">
        <v>61</v>
      </c>
      <c r="N51" s="13">
        <f>IFERROR(VLOOKUP($A:$A,[1]KION_IND_E_COM_LT!$A:$T,18,0),"")</f>
        <v>0</v>
      </c>
      <c r="O51" s="14">
        <v>1</v>
      </c>
      <c r="P51" s="15">
        <f t="shared" si="0"/>
        <v>100</v>
      </c>
      <c r="Q51" s="16">
        <v>44067</v>
      </c>
      <c r="R51" s="17">
        <v>6</v>
      </c>
      <c r="S51" s="13" t="s">
        <v>0</v>
      </c>
    </row>
    <row r="52" spans="1:19" x14ac:dyDescent="0.25">
      <c r="A52" s="13">
        <v>201255360</v>
      </c>
      <c r="B52" s="27" t="s">
        <v>70</v>
      </c>
      <c r="C52" s="28">
        <v>0</v>
      </c>
      <c r="D52" s="13">
        <v>681202</v>
      </c>
      <c r="E52" s="13" t="s">
        <v>2</v>
      </c>
      <c r="F52" s="13">
        <v>100</v>
      </c>
      <c r="G52" s="13">
        <v>100</v>
      </c>
      <c r="H52" s="13"/>
      <c r="I52" s="13"/>
      <c r="J52" s="13"/>
      <c r="K52" s="13">
        <v>100</v>
      </c>
      <c r="L52" s="22" t="s">
        <v>21</v>
      </c>
      <c r="M52" s="13" t="s">
        <v>61</v>
      </c>
      <c r="N52" s="13">
        <f>IFERROR(VLOOKUP($A:$A,[1]KION_IND_E_COM_LT!$A:$T,18,0),"")</f>
        <v>0</v>
      </c>
      <c r="O52" s="14">
        <v>1</v>
      </c>
      <c r="P52" s="15">
        <f t="shared" si="0"/>
        <v>100</v>
      </c>
      <c r="Q52" s="16">
        <v>44074</v>
      </c>
      <c r="R52" s="17">
        <v>7</v>
      </c>
      <c r="S52" s="13" t="s">
        <v>0</v>
      </c>
    </row>
    <row r="53" spans="1:19" x14ac:dyDescent="0.25">
      <c r="A53" s="13">
        <v>201255361</v>
      </c>
      <c r="B53" s="27" t="s">
        <v>70</v>
      </c>
      <c r="C53" s="28">
        <v>0</v>
      </c>
      <c r="D53" s="13">
        <v>681202</v>
      </c>
      <c r="E53" s="13" t="s">
        <v>2</v>
      </c>
      <c r="F53" s="13">
        <v>100</v>
      </c>
      <c r="G53" s="13">
        <v>100</v>
      </c>
      <c r="H53" s="13"/>
      <c r="I53" s="13"/>
      <c r="J53" s="13"/>
      <c r="K53" s="13">
        <v>100</v>
      </c>
      <c r="L53" s="22" t="s">
        <v>21</v>
      </c>
      <c r="M53" s="13" t="s">
        <v>61</v>
      </c>
      <c r="N53" s="13">
        <f>IFERROR(VLOOKUP($A:$A,[1]KION_IND_E_COM_LT!$A:$T,18,0),"")</f>
        <v>0</v>
      </c>
      <c r="O53" s="14">
        <v>1</v>
      </c>
      <c r="P53" s="15">
        <f t="shared" si="0"/>
        <v>100</v>
      </c>
      <c r="Q53" s="16">
        <v>44074</v>
      </c>
      <c r="R53" s="17">
        <v>7</v>
      </c>
      <c r="S53" s="13" t="s">
        <v>0</v>
      </c>
    </row>
    <row r="54" spans="1:19" x14ac:dyDescent="0.25">
      <c r="A54" s="13">
        <v>201255362</v>
      </c>
      <c r="B54" s="27" t="s">
        <v>70</v>
      </c>
      <c r="C54" s="28">
        <v>0</v>
      </c>
      <c r="D54" s="13">
        <v>681202</v>
      </c>
      <c r="E54" s="13" t="s">
        <v>2</v>
      </c>
      <c r="F54" s="13">
        <v>100</v>
      </c>
      <c r="G54" s="13">
        <v>100</v>
      </c>
      <c r="H54" s="13"/>
      <c r="I54" s="13"/>
      <c r="J54" s="13"/>
      <c r="K54" s="13">
        <v>100</v>
      </c>
      <c r="L54" s="22" t="s">
        <v>21</v>
      </c>
      <c r="M54" s="13" t="s">
        <v>61</v>
      </c>
      <c r="N54" s="13">
        <f>IFERROR(VLOOKUP($A:$A,[1]KION_IND_E_COM_LT!$A:$T,18,0),"")</f>
        <v>0</v>
      </c>
      <c r="O54" s="14">
        <v>1</v>
      </c>
      <c r="P54" s="15">
        <f t="shared" si="0"/>
        <v>100</v>
      </c>
      <c r="Q54" s="16">
        <v>44074</v>
      </c>
      <c r="R54" s="17">
        <v>7</v>
      </c>
      <c r="S54" s="13" t="s">
        <v>0</v>
      </c>
    </row>
    <row r="55" spans="1:19" x14ac:dyDescent="0.25">
      <c r="A55" s="13">
        <v>201255363</v>
      </c>
      <c r="B55" s="27" t="s">
        <v>70</v>
      </c>
      <c r="C55" s="28">
        <v>0</v>
      </c>
      <c r="D55" s="13">
        <v>681202</v>
      </c>
      <c r="E55" s="13" t="s">
        <v>2</v>
      </c>
      <c r="F55" s="13">
        <v>100</v>
      </c>
      <c r="G55" s="13">
        <v>100</v>
      </c>
      <c r="H55" s="13"/>
      <c r="I55" s="13"/>
      <c r="J55" s="13"/>
      <c r="K55" s="13">
        <v>100</v>
      </c>
      <c r="L55" s="22" t="s">
        <v>21</v>
      </c>
      <c r="M55" s="13" t="s">
        <v>61</v>
      </c>
      <c r="N55" s="13">
        <f>IFERROR(VLOOKUP($A:$A,[1]KION_IND_E_COM_LT!$A:$T,18,0),"")</f>
        <v>0</v>
      </c>
      <c r="O55" s="14">
        <v>1</v>
      </c>
      <c r="P55" s="15">
        <f t="shared" si="0"/>
        <v>100</v>
      </c>
      <c r="Q55" s="16">
        <v>44074</v>
      </c>
      <c r="R55" s="17">
        <v>7</v>
      </c>
      <c r="S55" s="13" t="s">
        <v>0</v>
      </c>
    </row>
    <row r="56" spans="1:19" x14ac:dyDescent="0.25">
      <c r="A56" s="13">
        <v>201255364</v>
      </c>
      <c r="B56" s="27" t="s">
        <v>70</v>
      </c>
      <c r="C56" s="28">
        <v>0</v>
      </c>
      <c r="D56" s="13">
        <v>681202</v>
      </c>
      <c r="E56" s="13" t="s">
        <v>2</v>
      </c>
      <c r="F56" s="13">
        <v>100</v>
      </c>
      <c r="G56" s="13">
        <v>100</v>
      </c>
      <c r="H56" s="13"/>
      <c r="I56" s="13"/>
      <c r="J56" s="13"/>
      <c r="K56" s="13">
        <v>100</v>
      </c>
      <c r="L56" s="22" t="s">
        <v>21</v>
      </c>
      <c r="M56" s="13" t="s">
        <v>61</v>
      </c>
      <c r="N56" s="13">
        <f>IFERROR(VLOOKUP($A:$A,[1]KION_IND_E_COM_LT!$A:$T,18,0),"")</f>
        <v>0</v>
      </c>
      <c r="O56" s="14">
        <v>1</v>
      </c>
      <c r="P56" s="15">
        <f t="shared" si="0"/>
        <v>100</v>
      </c>
      <c r="Q56" s="16">
        <v>44074</v>
      </c>
      <c r="R56" s="17">
        <v>7</v>
      </c>
      <c r="S56" s="13" t="s">
        <v>0</v>
      </c>
    </row>
    <row r="57" spans="1:19" x14ac:dyDescent="0.25">
      <c r="A57" s="13">
        <v>201255365</v>
      </c>
      <c r="B57" s="27" t="s">
        <v>70</v>
      </c>
      <c r="C57" s="28">
        <v>0</v>
      </c>
      <c r="D57" s="13">
        <v>681202</v>
      </c>
      <c r="E57" s="13" t="s">
        <v>2</v>
      </c>
      <c r="F57" s="13">
        <v>100</v>
      </c>
      <c r="G57" s="13">
        <v>100</v>
      </c>
      <c r="H57" s="13"/>
      <c r="I57" s="13"/>
      <c r="J57" s="13"/>
      <c r="K57" s="13">
        <v>100</v>
      </c>
      <c r="L57" s="22" t="s">
        <v>21</v>
      </c>
      <c r="M57" s="13" t="s">
        <v>61</v>
      </c>
      <c r="N57" s="13">
        <f>IFERROR(VLOOKUP($A:$A,[1]KION_IND_E_COM_LT!$A:$T,18,0),"")</f>
        <v>0</v>
      </c>
      <c r="O57" s="14">
        <v>1</v>
      </c>
      <c r="P57" s="15">
        <f t="shared" si="0"/>
        <v>100</v>
      </c>
      <c r="Q57" s="16">
        <v>44081</v>
      </c>
      <c r="R57" s="17">
        <v>8</v>
      </c>
      <c r="S57" s="13" t="s">
        <v>0</v>
      </c>
    </row>
    <row r="58" spans="1:19" x14ac:dyDescent="0.25">
      <c r="A58" s="13">
        <v>201255366</v>
      </c>
      <c r="B58" s="27" t="s">
        <v>70</v>
      </c>
      <c r="C58" s="28">
        <v>0</v>
      </c>
      <c r="D58" s="13">
        <v>681202</v>
      </c>
      <c r="E58" s="13" t="s">
        <v>2</v>
      </c>
      <c r="F58" s="13">
        <v>100</v>
      </c>
      <c r="G58" s="13">
        <v>100</v>
      </c>
      <c r="H58" s="13"/>
      <c r="I58" s="13"/>
      <c r="J58" s="13"/>
      <c r="K58" s="13">
        <v>100</v>
      </c>
      <c r="L58" s="22" t="s">
        <v>21</v>
      </c>
      <c r="M58" s="13" t="s">
        <v>61</v>
      </c>
      <c r="N58" s="13">
        <f>IFERROR(VLOOKUP($A:$A,[1]KION_IND_E_COM_LT!$A:$T,18,0),"")</f>
        <v>0</v>
      </c>
      <c r="O58" s="14">
        <v>1</v>
      </c>
      <c r="P58" s="15">
        <f t="shared" si="0"/>
        <v>100</v>
      </c>
      <c r="Q58" s="16">
        <v>44081</v>
      </c>
      <c r="R58" s="17">
        <v>8</v>
      </c>
      <c r="S58" s="13" t="s">
        <v>0</v>
      </c>
    </row>
    <row r="59" spans="1:19" x14ac:dyDescent="0.25">
      <c r="A59" s="13">
        <v>201255367</v>
      </c>
      <c r="B59" s="27" t="s">
        <v>70</v>
      </c>
      <c r="C59" s="28">
        <v>0</v>
      </c>
      <c r="D59" s="13">
        <v>681202</v>
      </c>
      <c r="E59" s="13" t="s">
        <v>2</v>
      </c>
      <c r="F59" s="13">
        <v>100</v>
      </c>
      <c r="G59" s="13">
        <v>100</v>
      </c>
      <c r="H59" s="13"/>
      <c r="I59" s="13"/>
      <c r="J59" s="13"/>
      <c r="K59" s="13">
        <v>100</v>
      </c>
      <c r="L59" s="22" t="s">
        <v>21</v>
      </c>
      <c r="M59" s="13" t="s">
        <v>61</v>
      </c>
      <c r="N59" s="13">
        <f>IFERROR(VLOOKUP($A:$A,[1]KION_IND_E_COM_LT!$A:$T,18,0),"")</f>
        <v>0</v>
      </c>
      <c r="O59" s="14">
        <v>1</v>
      </c>
      <c r="P59" s="15">
        <f t="shared" si="0"/>
        <v>100</v>
      </c>
      <c r="Q59" s="16">
        <v>44081</v>
      </c>
      <c r="R59" s="17">
        <v>8</v>
      </c>
      <c r="S59" s="13" t="s">
        <v>0</v>
      </c>
    </row>
    <row r="60" spans="1:19" x14ac:dyDescent="0.25">
      <c r="A60" s="13">
        <v>201255368</v>
      </c>
      <c r="B60" s="27" t="s">
        <v>70</v>
      </c>
      <c r="C60" s="28">
        <v>0</v>
      </c>
      <c r="D60" s="13">
        <v>681202</v>
      </c>
      <c r="E60" s="13" t="s">
        <v>2</v>
      </c>
      <c r="F60" s="13">
        <v>100</v>
      </c>
      <c r="G60" s="13">
        <v>100</v>
      </c>
      <c r="H60" s="13"/>
      <c r="I60" s="13"/>
      <c r="J60" s="13"/>
      <c r="K60" s="13">
        <v>100</v>
      </c>
      <c r="L60" s="22" t="s">
        <v>21</v>
      </c>
      <c r="M60" s="13" t="s">
        <v>61</v>
      </c>
      <c r="N60" s="13">
        <f>IFERROR(VLOOKUP($A:$A,[1]KION_IND_E_COM_LT!$A:$T,18,0),"")</f>
        <v>0</v>
      </c>
      <c r="O60" s="14">
        <v>1</v>
      </c>
      <c r="P60" s="15">
        <f t="shared" si="0"/>
        <v>100</v>
      </c>
      <c r="Q60" s="16">
        <v>44081</v>
      </c>
      <c r="R60" s="17">
        <v>8</v>
      </c>
      <c r="S60" s="13" t="s">
        <v>0</v>
      </c>
    </row>
    <row r="61" spans="1:19" x14ac:dyDescent="0.25">
      <c r="A61" s="13">
        <v>201255369</v>
      </c>
      <c r="B61" s="27" t="s">
        <v>70</v>
      </c>
      <c r="C61" s="28">
        <v>0</v>
      </c>
      <c r="D61" s="13">
        <v>681202</v>
      </c>
      <c r="E61" s="13" t="s">
        <v>2</v>
      </c>
      <c r="F61" s="13">
        <v>100</v>
      </c>
      <c r="G61" s="13">
        <v>100</v>
      </c>
      <c r="H61" s="13"/>
      <c r="I61" s="13"/>
      <c r="J61" s="13"/>
      <c r="K61" s="13">
        <v>100</v>
      </c>
      <c r="L61" s="22" t="s">
        <v>21</v>
      </c>
      <c r="M61" s="13" t="s">
        <v>61</v>
      </c>
      <c r="N61" s="13">
        <f>IFERROR(VLOOKUP($A:$A,[1]KION_IND_E_COM_LT!$A:$T,18,0),"")</f>
        <v>0</v>
      </c>
      <c r="O61" s="14">
        <v>1</v>
      </c>
      <c r="P61" s="15">
        <f t="shared" si="0"/>
        <v>100</v>
      </c>
      <c r="Q61" s="16">
        <v>44081</v>
      </c>
      <c r="R61" s="17">
        <v>8</v>
      </c>
      <c r="S61" s="13" t="s">
        <v>0</v>
      </c>
    </row>
    <row r="62" spans="1:19" x14ac:dyDescent="0.25">
      <c r="A62" s="13">
        <v>201255370</v>
      </c>
      <c r="B62" s="27" t="s">
        <v>70</v>
      </c>
      <c r="C62" s="28">
        <v>0</v>
      </c>
      <c r="D62" s="13">
        <v>681202</v>
      </c>
      <c r="E62" s="13" t="s">
        <v>2</v>
      </c>
      <c r="F62" s="13">
        <v>100</v>
      </c>
      <c r="G62" s="13">
        <v>100</v>
      </c>
      <c r="H62" s="13"/>
      <c r="I62" s="13"/>
      <c r="J62" s="13"/>
      <c r="K62" s="13">
        <v>100</v>
      </c>
      <c r="L62" s="22" t="s">
        <v>21</v>
      </c>
      <c r="M62" s="13" t="s">
        <v>61</v>
      </c>
      <c r="N62" s="13">
        <f>IFERROR(VLOOKUP($A:$A,[1]KION_IND_E_COM_LT!$A:$T,18,0),"")</f>
        <v>0</v>
      </c>
      <c r="O62" s="14">
        <v>1</v>
      </c>
      <c r="P62" s="15">
        <f t="shared" si="0"/>
        <v>100</v>
      </c>
      <c r="Q62" s="16">
        <v>44081</v>
      </c>
      <c r="R62" s="17">
        <v>8</v>
      </c>
      <c r="S62" s="13" t="s">
        <v>0</v>
      </c>
    </row>
    <row r="63" spans="1:19" x14ac:dyDescent="0.25">
      <c r="A63" s="13">
        <v>201255371</v>
      </c>
      <c r="B63" s="27" t="s">
        <v>70</v>
      </c>
      <c r="C63" s="28">
        <v>0</v>
      </c>
      <c r="D63" s="13">
        <v>681202</v>
      </c>
      <c r="E63" s="13" t="s">
        <v>2</v>
      </c>
      <c r="F63" s="13">
        <v>100</v>
      </c>
      <c r="G63" s="13">
        <v>100</v>
      </c>
      <c r="H63" s="13"/>
      <c r="I63" s="13"/>
      <c r="J63" s="13"/>
      <c r="K63" s="13">
        <v>100</v>
      </c>
      <c r="L63" s="22" t="s">
        <v>21</v>
      </c>
      <c r="M63" s="13" t="s">
        <v>61</v>
      </c>
      <c r="N63" s="13">
        <f>IFERROR(VLOOKUP($A:$A,[1]KION_IND_E_COM_LT!$A:$T,18,0),"")</f>
        <v>0</v>
      </c>
      <c r="O63" s="14">
        <v>1</v>
      </c>
      <c r="P63" s="15">
        <f t="shared" si="0"/>
        <v>100</v>
      </c>
      <c r="Q63" s="16">
        <v>44081</v>
      </c>
      <c r="R63" s="17">
        <v>8</v>
      </c>
      <c r="S63" s="13" t="s">
        <v>0</v>
      </c>
    </row>
    <row r="64" spans="1:19" x14ac:dyDescent="0.25">
      <c r="A64" s="13">
        <v>201255372</v>
      </c>
      <c r="B64" s="27" t="s">
        <v>70</v>
      </c>
      <c r="C64" s="28">
        <v>0</v>
      </c>
      <c r="D64" s="13">
        <v>681202</v>
      </c>
      <c r="E64" s="13" t="s">
        <v>2</v>
      </c>
      <c r="F64" s="13">
        <v>100</v>
      </c>
      <c r="G64" s="13">
        <v>100</v>
      </c>
      <c r="H64" s="13"/>
      <c r="I64" s="13"/>
      <c r="J64" s="13"/>
      <c r="K64" s="13">
        <v>100</v>
      </c>
      <c r="L64" s="22" t="s">
        <v>21</v>
      </c>
      <c r="M64" s="13" t="s">
        <v>61</v>
      </c>
      <c r="N64" s="13">
        <f>IFERROR(VLOOKUP($A:$A,[1]KION_IND_E_COM_LT!$A:$T,18,0),"")</f>
        <v>0</v>
      </c>
      <c r="O64" s="14">
        <v>1</v>
      </c>
      <c r="P64" s="15">
        <f t="shared" si="0"/>
        <v>100</v>
      </c>
      <c r="Q64" s="16">
        <v>44081</v>
      </c>
      <c r="R64" s="17">
        <v>8</v>
      </c>
      <c r="S64" s="13" t="s">
        <v>0</v>
      </c>
    </row>
    <row r="65" spans="1:19" x14ac:dyDescent="0.25">
      <c r="A65" s="13">
        <v>201255373</v>
      </c>
      <c r="B65" s="27" t="s">
        <v>70</v>
      </c>
      <c r="C65" s="28">
        <v>0</v>
      </c>
      <c r="D65" s="13">
        <v>681202</v>
      </c>
      <c r="E65" s="13" t="s">
        <v>2</v>
      </c>
      <c r="F65" s="13">
        <v>100</v>
      </c>
      <c r="G65" s="13">
        <v>100</v>
      </c>
      <c r="H65" s="13"/>
      <c r="I65" s="13"/>
      <c r="J65" s="13"/>
      <c r="K65" s="13">
        <v>100</v>
      </c>
      <c r="L65" s="22" t="s">
        <v>21</v>
      </c>
      <c r="M65" s="13" t="s">
        <v>61</v>
      </c>
      <c r="N65" s="13">
        <f>IFERROR(VLOOKUP($A:$A,[1]KION_IND_E_COM_LT!$A:$T,18,0),"")</f>
        <v>0</v>
      </c>
      <c r="O65" s="14">
        <v>1</v>
      </c>
      <c r="P65" s="15">
        <f t="shared" si="0"/>
        <v>100</v>
      </c>
      <c r="Q65" s="16">
        <v>44088</v>
      </c>
      <c r="R65" s="17">
        <v>9</v>
      </c>
      <c r="S65" s="13" t="s">
        <v>0</v>
      </c>
    </row>
    <row r="66" spans="1:19" x14ac:dyDescent="0.25">
      <c r="A66" s="13">
        <v>201255374</v>
      </c>
      <c r="B66" s="27" t="s">
        <v>70</v>
      </c>
      <c r="C66" s="28">
        <v>0</v>
      </c>
      <c r="D66" s="13">
        <v>681202</v>
      </c>
      <c r="E66" s="13" t="s">
        <v>2</v>
      </c>
      <c r="F66" s="13">
        <v>100</v>
      </c>
      <c r="G66" s="13">
        <v>100</v>
      </c>
      <c r="H66" s="13"/>
      <c r="I66" s="13"/>
      <c r="J66" s="13"/>
      <c r="K66" s="13">
        <v>100</v>
      </c>
      <c r="L66" s="22" t="s">
        <v>21</v>
      </c>
      <c r="M66" s="13" t="s">
        <v>61</v>
      </c>
      <c r="N66" s="13">
        <f>IFERROR(VLOOKUP($A:$A,[1]KION_IND_E_COM_LT!$A:$T,18,0),"")</f>
        <v>0</v>
      </c>
      <c r="O66" s="14">
        <v>1</v>
      </c>
      <c r="P66" s="15">
        <f t="shared" si="0"/>
        <v>100</v>
      </c>
      <c r="Q66" s="16">
        <v>44088</v>
      </c>
      <c r="R66" s="17">
        <v>9</v>
      </c>
      <c r="S66" s="13" t="s">
        <v>0</v>
      </c>
    </row>
    <row r="67" spans="1:19" x14ac:dyDescent="0.25">
      <c r="A67" s="13">
        <v>201255375</v>
      </c>
      <c r="B67" s="27" t="s">
        <v>70</v>
      </c>
      <c r="C67" s="28">
        <v>0</v>
      </c>
      <c r="D67" s="13">
        <v>681202</v>
      </c>
      <c r="E67" s="13" t="s">
        <v>2</v>
      </c>
      <c r="F67" s="13">
        <v>100</v>
      </c>
      <c r="G67" s="13">
        <v>100</v>
      </c>
      <c r="H67" s="13"/>
      <c r="I67" s="13"/>
      <c r="J67" s="13"/>
      <c r="K67" s="13">
        <v>100</v>
      </c>
      <c r="L67" s="22"/>
      <c r="M67" s="13" t="s">
        <v>23</v>
      </c>
      <c r="N67" s="13" t="str">
        <f>IFERROR(VLOOKUP($A:$A,[1]KION_IND_E_COM_LT!$A:$T,18,0),"")</f>
        <v/>
      </c>
      <c r="O67" s="14">
        <v>1</v>
      </c>
      <c r="P67" s="15">
        <f t="shared" ref="P67:P130" si="1">K67*O67</f>
        <v>100</v>
      </c>
      <c r="Q67" s="16">
        <v>44088</v>
      </c>
      <c r="R67" s="17">
        <v>9</v>
      </c>
      <c r="S67" s="13" t="s">
        <v>0</v>
      </c>
    </row>
    <row r="68" spans="1:19" x14ac:dyDescent="0.25">
      <c r="A68" s="13">
        <v>201255376</v>
      </c>
      <c r="B68" s="27" t="s">
        <v>70</v>
      </c>
      <c r="C68" s="28">
        <v>0</v>
      </c>
      <c r="D68" s="13">
        <v>681202</v>
      </c>
      <c r="E68" s="13" t="s">
        <v>2</v>
      </c>
      <c r="F68" s="13">
        <v>100</v>
      </c>
      <c r="G68" s="13">
        <v>100</v>
      </c>
      <c r="H68" s="13"/>
      <c r="I68" s="13"/>
      <c r="J68" s="13"/>
      <c r="K68" s="13">
        <v>100</v>
      </c>
      <c r="L68" s="22"/>
      <c r="M68" s="13" t="s">
        <v>23</v>
      </c>
      <c r="N68" s="13" t="str">
        <f>IFERROR(VLOOKUP($A:$A,[1]KION_IND_E_COM_LT!$A:$T,18,0),"")</f>
        <v/>
      </c>
      <c r="O68" s="14">
        <v>1</v>
      </c>
      <c r="P68" s="15">
        <f t="shared" si="1"/>
        <v>100</v>
      </c>
      <c r="Q68" s="16">
        <v>44088</v>
      </c>
      <c r="R68" s="17">
        <v>9</v>
      </c>
      <c r="S68" s="13" t="s">
        <v>0</v>
      </c>
    </row>
    <row r="69" spans="1:19" x14ac:dyDescent="0.25">
      <c r="A69" s="13">
        <v>201424197</v>
      </c>
      <c r="B69" s="27" t="s">
        <v>72</v>
      </c>
      <c r="C69" s="28">
        <v>0</v>
      </c>
      <c r="D69" s="13">
        <v>681202</v>
      </c>
      <c r="E69" s="13" t="s">
        <v>2</v>
      </c>
      <c r="F69" s="13">
        <v>60</v>
      </c>
      <c r="G69" s="13">
        <v>60</v>
      </c>
      <c r="H69" s="13"/>
      <c r="I69" s="13">
        <v>60</v>
      </c>
      <c r="J69" s="13"/>
      <c r="K69" s="13">
        <v>0</v>
      </c>
      <c r="L69" s="22" t="s">
        <v>21</v>
      </c>
      <c r="M69" s="13" t="s">
        <v>320</v>
      </c>
      <c r="N69" s="13">
        <f>IFERROR(VLOOKUP($A:$A,[1]KION_IND_E_COM_LT!$A:$T,18,0),"")</f>
        <v>0</v>
      </c>
      <c r="O69" s="14"/>
      <c r="P69" s="15">
        <f t="shared" si="1"/>
        <v>0</v>
      </c>
      <c r="Q69" s="16"/>
      <c r="R69" s="17" t="s">
        <v>3</v>
      </c>
      <c r="S69" s="13" t="s">
        <v>0</v>
      </c>
    </row>
    <row r="70" spans="1:19" x14ac:dyDescent="0.25">
      <c r="A70" s="13">
        <v>201424200</v>
      </c>
      <c r="B70" s="27" t="s">
        <v>72</v>
      </c>
      <c r="C70" s="28">
        <v>0</v>
      </c>
      <c r="D70" s="13">
        <v>681202</v>
      </c>
      <c r="E70" s="13" t="s">
        <v>2</v>
      </c>
      <c r="F70" s="13">
        <v>100</v>
      </c>
      <c r="G70" s="13">
        <v>100</v>
      </c>
      <c r="H70" s="13"/>
      <c r="I70" s="13">
        <v>100</v>
      </c>
      <c r="J70" s="13"/>
      <c r="K70" s="13">
        <v>0</v>
      </c>
      <c r="L70" s="22" t="s">
        <v>21</v>
      </c>
      <c r="M70" s="13" t="s">
        <v>320</v>
      </c>
      <c r="N70" s="13">
        <f>IFERROR(VLOOKUP($A:$A,[1]KION_IND_E_COM_LT!$A:$T,18,0),"")</f>
        <v>0</v>
      </c>
      <c r="O70" s="14"/>
      <c r="P70" s="15">
        <f t="shared" si="1"/>
        <v>0</v>
      </c>
      <c r="Q70" s="16"/>
      <c r="R70" s="17" t="s">
        <v>3</v>
      </c>
      <c r="S70" s="13" t="s">
        <v>0</v>
      </c>
    </row>
    <row r="71" spans="1:19" x14ac:dyDescent="0.25">
      <c r="A71" s="13">
        <v>201424201</v>
      </c>
      <c r="B71" s="27" t="s">
        <v>72</v>
      </c>
      <c r="C71" s="28">
        <v>0</v>
      </c>
      <c r="D71" s="13">
        <v>681202</v>
      </c>
      <c r="E71" s="13" t="s">
        <v>2</v>
      </c>
      <c r="F71" s="13">
        <v>100</v>
      </c>
      <c r="G71" s="13">
        <v>100</v>
      </c>
      <c r="H71" s="13"/>
      <c r="I71" s="13">
        <v>100</v>
      </c>
      <c r="J71" s="13"/>
      <c r="K71" s="13">
        <v>0</v>
      </c>
      <c r="L71" s="22" t="s">
        <v>21</v>
      </c>
      <c r="M71" s="13" t="s">
        <v>320</v>
      </c>
      <c r="N71" s="13">
        <f>IFERROR(VLOOKUP($A:$A,[1]KION_IND_E_COM_LT!$A:$T,18,0),"")</f>
        <v>0</v>
      </c>
      <c r="O71" s="14"/>
      <c r="P71" s="15">
        <f t="shared" si="1"/>
        <v>0</v>
      </c>
      <c r="Q71" s="16"/>
      <c r="R71" s="17" t="s">
        <v>3</v>
      </c>
      <c r="S71" s="13" t="s">
        <v>0</v>
      </c>
    </row>
    <row r="72" spans="1:19" x14ac:dyDescent="0.25">
      <c r="A72" s="13">
        <v>201424202</v>
      </c>
      <c r="B72" s="27" t="s">
        <v>72</v>
      </c>
      <c r="C72" s="28">
        <v>0</v>
      </c>
      <c r="D72" s="13">
        <v>681202</v>
      </c>
      <c r="E72" s="13" t="s">
        <v>2</v>
      </c>
      <c r="F72" s="13">
        <v>100</v>
      </c>
      <c r="G72" s="13">
        <v>100</v>
      </c>
      <c r="H72" s="13"/>
      <c r="I72" s="13">
        <v>100</v>
      </c>
      <c r="J72" s="13"/>
      <c r="K72" s="13">
        <v>0</v>
      </c>
      <c r="L72" s="22" t="s">
        <v>21</v>
      </c>
      <c r="M72" s="13" t="s">
        <v>320</v>
      </c>
      <c r="N72" s="13">
        <f>IFERROR(VLOOKUP($A:$A,[1]KION_IND_E_COM_LT!$A:$T,18,0),"")</f>
        <v>0</v>
      </c>
      <c r="O72" s="14"/>
      <c r="P72" s="15">
        <f t="shared" si="1"/>
        <v>0</v>
      </c>
      <c r="Q72" s="16"/>
      <c r="R72" s="17" t="s">
        <v>3</v>
      </c>
      <c r="S72" s="13" t="s">
        <v>0</v>
      </c>
    </row>
    <row r="73" spans="1:19" x14ac:dyDescent="0.25">
      <c r="A73" s="13">
        <v>201424203</v>
      </c>
      <c r="B73" s="27" t="s">
        <v>72</v>
      </c>
      <c r="C73" s="28">
        <v>0</v>
      </c>
      <c r="D73" s="13">
        <v>681202</v>
      </c>
      <c r="E73" s="13" t="s">
        <v>2</v>
      </c>
      <c r="F73" s="13">
        <v>100</v>
      </c>
      <c r="G73" s="13">
        <v>100</v>
      </c>
      <c r="H73" s="13"/>
      <c r="I73" s="13"/>
      <c r="J73" s="13"/>
      <c r="K73" s="13">
        <v>100</v>
      </c>
      <c r="L73" s="22" t="s">
        <v>21</v>
      </c>
      <c r="M73" s="13" t="s">
        <v>61</v>
      </c>
      <c r="N73" s="13">
        <f>IFERROR(VLOOKUP($A:$A,[1]KION_IND_E_COM_LT!$A:$T,18,0),"")</f>
        <v>0</v>
      </c>
      <c r="O73" s="14">
        <v>1</v>
      </c>
      <c r="P73" s="15">
        <f t="shared" si="1"/>
        <v>100</v>
      </c>
      <c r="Q73" s="16" t="s">
        <v>3</v>
      </c>
      <c r="R73" s="17" t="s">
        <v>3</v>
      </c>
      <c r="S73" s="13" t="s">
        <v>0</v>
      </c>
    </row>
    <row r="74" spans="1:19" x14ac:dyDescent="0.25">
      <c r="A74" s="13">
        <v>201424204</v>
      </c>
      <c r="B74" s="27" t="s">
        <v>72</v>
      </c>
      <c r="C74" s="28">
        <v>0</v>
      </c>
      <c r="D74" s="13">
        <v>681202</v>
      </c>
      <c r="E74" s="13" t="s">
        <v>2</v>
      </c>
      <c r="F74" s="13">
        <v>100</v>
      </c>
      <c r="G74" s="13">
        <v>100</v>
      </c>
      <c r="H74" s="13"/>
      <c r="I74" s="13"/>
      <c r="J74" s="13"/>
      <c r="K74" s="13">
        <v>100</v>
      </c>
      <c r="L74" s="22" t="s">
        <v>21</v>
      </c>
      <c r="M74" s="13" t="s">
        <v>61</v>
      </c>
      <c r="N74" s="13">
        <f>IFERROR(VLOOKUP($A:$A,[1]KION_IND_E_COM_LT!$A:$T,18,0),"")</f>
        <v>0</v>
      </c>
      <c r="O74" s="14">
        <v>1</v>
      </c>
      <c r="P74" s="15">
        <f t="shared" si="1"/>
        <v>100</v>
      </c>
      <c r="Q74" s="16" t="s">
        <v>3</v>
      </c>
      <c r="R74" s="17" t="s">
        <v>3</v>
      </c>
      <c r="S74" s="13" t="s">
        <v>0</v>
      </c>
    </row>
    <row r="75" spans="1:19" x14ac:dyDescent="0.25">
      <c r="A75" s="13">
        <v>201424205</v>
      </c>
      <c r="B75" s="27" t="s">
        <v>72</v>
      </c>
      <c r="C75" s="28">
        <v>0</v>
      </c>
      <c r="D75" s="13">
        <v>681202</v>
      </c>
      <c r="E75" s="13" t="s">
        <v>2</v>
      </c>
      <c r="F75" s="13">
        <v>100</v>
      </c>
      <c r="G75" s="13">
        <v>100</v>
      </c>
      <c r="H75" s="13"/>
      <c r="I75" s="13"/>
      <c r="J75" s="13"/>
      <c r="K75" s="13">
        <v>100</v>
      </c>
      <c r="L75" s="22" t="s">
        <v>21</v>
      </c>
      <c r="M75" s="13" t="s">
        <v>61</v>
      </c>
      <c r="N75" s="13">
        <f>IFERROR(VLOOKUP($A:$A,[1]KION_IND_E_COM_LT!$A:$T,18,0),"")</f>
        <v>0</v>
      </c>
      <c r="O75" s="14">
        <v>1</v>
      </c>
      <c r="P75" s="15">
        <f t="shared" si="1"/>
        <v>100</v>
      </c>
      <c r="Q75" s="16" t="s">
        <v>3</v>
      </c>
      <c r="R75" s="17" t="s">
        <v>3</v>
      </c>
      <c r="S75" s="13" t="s">
        <v>0</v>
      </c>
    </row>
    <row r="76" spans="1:19" x14ac:dyDescent="0.25">
      <c r="A76" s="13">
        <v>202561207</v>
      </c>
      <c r="B76" s="27" t="s">
        <v>69</v>
      </c>
      <c r="C76" s="28">
        <v>0</v>
      </c>
      <c r="D76" s="13">
        <v>681202</v>
      </c>
      <c r="E76" s="13" t="s">
        <v>2</v>
      </c>
      <c r="F76" s="13">
        <v>100</v>
      </c>
      <c r="G76" s="13">
        <v>100</v>
      </c>
      <c r="H76" s="13"/>
      <c r="I76" s="13"/>
      <c r="J76" s="13">
        <v>100</v>
      </c>
      <c r="K76" s="13">
        <v>0</v>
      </c>
      <c r="L76" s="22" t="s">
        <v>21</v>
      </c>
      <c r="M76" s="22" t="s">
        <v>55</v>
      </c>
      <c r="N76" s="13">
        <f>IFERROR(VLOOKUP($A:$A,[1]KION_IND_E_COM_LT!$A:$T,18,0),"")</f>
        <v>0</v>
      </c>
      <c r="O76" s="14"/>
      <c r="P76" s="15">
        <f t="shared" si="1"/>
        <v>0</v>
      </c>
      <c r="Q76" s="16"/>
      <c r="R76" s="17">
        <v>6</v>
      </c>
      <c r="S76" s="13" t="s">
        <v>0</v>
      </c>
    </row>
    <row r="77" spans="1:19" x14ac:dyDescent="0.25">
      <c r="A77" s="13">
        <v>202561208</v>
      </c>
      <c r="B77" s="27" t="s">
        <v>69</v>
      </c>
      <c r="C77" s="28">
        <v>0</v>
      </c>
      <c r="D77" s="13">
        <v>681202</v>
      </c>
      <c r="E77" s="13" t="s">
        <v>2</v>
      </c>
      <c r="F77" s="13">
        <v>100</v>
      </c>
      <c r="G77" s="13">
        <v>100</v>
      </c>
      <c r="H77" s="13"/>
      <c r="I77" s="13"/>
      <c r="J77" s="13">
        <v>100</v>
      </c>
      <c r="K77" s="13">
        <v>0</v>
      </c>
      <c r="L77" s="22" t="s">
        <v>21</v>
      </c>
      <c r="M77" s="13" t="s">
        <v>55</v>
      </c>
      <c r="N77" s="13">
        <f>IFERROR(VLOOKUP($A:$A,[1]KION_IND_E_COM_LT!$A:$T,18,0),"")</f>
        <v>0</v>
      </c>
      <c r="O77" s="14"/>
      <c r="P77" s="15">
        <f t="shared" si="1"/>
        <v>0</v>
      </c>
      <c r="Q77" s="16"/>
      <c r="R77" s="17">
        <v>6</v>
      </c>
      <c r="S77" s="13" t="s">
        <v>0</v>
      </c>
    </row>
    <row r="78" spans="1:19" x14ac:dyDescent="0.25">
      <c r="A78" s="13">
        <v>202561209</v>
      </c>
      <c r="B78" s="27" t="s">
        <v>69</v>
      </c>
      <c r="C78" s="28">
        <v>0</v>
      </c>
      <c r="D78" s="13">
        <v>681202</v>
      </c>
      <c r="E78" s="13" t="s">
        <v>2</v>
      </c>
      <c r="F78" s="13">
        <v>100</v>
      </c>
      <c r="G78" s="13">
        <v>100</v>
      </c>
      <c r="H78" s="13"/>
      <c r="I78" s="13"/>
      <c r="J78" s="13">
        <v>100</v>
      </c>
      <c r="K78" s="13">
        <v>0</v>
      </c>
      <c r="L78" s="22" t="s">
        <v>21</v>
      </c>
      <c r="M78" s="13" t="s">
        <v>55</v>
      </c>
      <c r="N78" s="13">
        <f>IFERROR(VLOOKUP($A:$A,[1]KION_IND_E_COM_LT!$A:$T,18,0),"")</f>
        <v>0</v>
      </c>
      <c r="O78" s="14"/>
      <c r="P78" s="15">
        <f t="shared" si="1"/>
        <v>0</v>
      </c>
      <c r="Q78" s="16"/>
      <c r="R78" s="17">
        <v>6</v>
      </c>
      <c r="S78" s="13" t="s">
        <v>0</v>
      </c>
    </row>
    <row r="79" spans="1:19" x14ac:dyDescent="0.25">
      <c r="A79" s="13">
        <v>202561210</v>
      </c>
      <c r="B79" s="27" t="s">
        <v>69</v>
      </c>
      <c r="C79" s="28">
        <v>0</v>
      </c>
      <c r="D79" s="13">
        <v>681202</v>
      </c>
      <c r="E79" s="13" t="s">
        <v>2</v>
      </c>
      <c r="F79" s="13">
        <v>100</v>
      </c>
      <c r="G79" s="13">
        <v>100</v>
      </c>
      <c r="H79" s="13"/>
      <c r="I79" s="13"/>
      <c r="J79" s="13">
        <v>100</v>
      </c>
      <c r="K79" s="13">
        <v>0</v>
      </c>
      <c r="L79" s="22" t="s">
        <v>21</v>
      </c>
      <c r="M79" s="13" t="s">
        <v>55</v>
      </c>
      <c r="N79" s="13">
        <f>IFERROR(VLOOKUP($A:$A,[1]KION_IND_E_COM_LT!$A:$T,18,0),"")</f>
        <v>0</v>
      </c>
      <c r="O79" s="14"/>
      <c r="P79" s="15">
        <f t="shared" si="1"/>
        <v>0</v>
      </c>
      <c r="Q79" s="16"/>
      <c r="R79" s="17">
        <v>6</v>
      </c>
      <c r="S79" s="13" t="s">
        <v>0</v>
      </c>
    </row>
    <row r="80" spans="1:19" x14ac:dyDescent="0.25">
      <c r="A80" s="13">
        <v>202561211</v>
      </c>
      <c r="B80" s="27" t="s">
        <v>69</v>
      </c>
      <c r="C80" s="28">
        <v>0</v>
      </c>
      <c r="D80" s="13">
        <v>681202</v>
      </c>
      <c r="E80" s="13" t="s">
        <v>2</v>
      </c>
      <c r="F80" s="13">
        <v>100</v>
      </c>
      <c r="G80" s="13">
        <v>100</v>
      </c>
      <c r="H80" s="13"/>
      <c r="I80" s="13"/>
      <c r="J80" s="13">
        <v>100</v>
      </c>
      <c r="K80" s="13">
        <v>0</v>
      </c>
      <c r="L80" s="22" t="s">
        <v>21</v>
      </c>
      <c r="M80" s="13" t="s">
        <v>55</v>
      </c>
      <c r="N80" s="13">
        <f>IFERROR(VLOOKUP($A:$A,[1]KION_IND_E_COM_LT!$A:$T,18,0),"")</f>
        <v>0</v>
      </c>
      <c r="O80" s="14"/>
      <c r="P80" s="15">
        <f t="shared" si="1"/>
        <v>0</v>
      </c>
      <c r="Q80" s="16"/>
      <c r="R80" s="17">
        <v>6</v>
      </c>
      <c r="S80" s="13" t="s">
        <v>0</v>
      </c>
    </row>
    <row r="81" spans="1:19" x14ac:dyDescent="0.25">
      <c r="A81" s="13">
        <v>202561215</v>
      </c>
      <c r="B81" s="27" t="s">
        <v>69</v>
      </c>
      <c r="C81" s="28">
        <v>0</v>
      </c>
      <c r="D81" s="13">
        <v>681202</v>
      </c>
      <c r="E81" s="13" t="s">
        <v>2</v>
      </c>
      <c r="F81" s="13">
        <v>100</v>
      </c>
      <c r="G81" s="13">
        <v>100</v>
      </c>
      <c r="H81" s="13"/>
      <c r="I81" s="13">
        <v>100</v>
      </c>
      <c r="J81" s="13"/>
      <c r="K81" s="13">
        <v>0</v>
      </c>
      <c r="L81" s="22" t="s">
        <v>21</v>
      </c>
      <c r="M81" s="13" t="s">
        <v>24</v>
      </c>
      <c r="N81" s="13">
        <f>IFERROR(VLOOKUP($A:$A,[1]KION_IND_E_COM_LT!$A:$T,18,0),"")</f>
        <v>0</v>
      </c>
      <c r="O81" s="14"/>
      <c r="P81" s="15">
        <f t="shared" si="1"/>
        <v>0</v>
      </c>
      <c r="Q81" s="16"/>
      <c r="R81" s="17">
        <v>6</v>
      </c>
      <c r="S81" s="13" t="s">
        <v>0</v>
      </c>
    </row>
    <row r="82" spans="1:19" x14ac:dyDescent="0.25">
      <c r="A82" s="13">
        <v>202561216</v>
      </c>
      <c r="B82" s="27" t="s">
        <v>69</v>
      </c>
      <c r="C82" s="28">
        <v>0</v>
      </c>
      <c r="D82" s="13">
        <v>681202</v>
      </c>
      <c r="E82" s="13" t="s">
        <v>2</v>
      </c>
      <c r="F82" s="13">
        <v>100</v>
      </c>
      <c r="G82" s="13">
        <v>100</v>
      </c>
      <c r="H82" s="13"/>
      <c r="I82" s="13">
        <v>100</v>
      </c>
      <c r="J82" s="13"/>
      <c r="K82" s="13">
        <v>0</v>
      </c>
      <c r="L82" s="22" t="s">
        <v>21</v>
      </c>
      <c r="M82" s="13" t="s">
        <v>29</v>
      </c>
      <c r="N82" s="13" t="str">
        <f>IFERROR(VLOOKUP($A:$A,[1]KION_IND_E_COM_LT!$A:$T,18,0),"")</f>
        <v>10/08 - A</v>
      </c>
      <c r="O82" s="14"/>
      <c r="P82" s="15">
        <f t="shared" si="1"/>
        <v>0</v>
      </c>
      <c r="Q82" s="16"/>
      <c r="R82" s="17">
        <v>6</v>
      </c>
      <c r="S82" s="13" t="s">
        <v>0</v>
      </c>
    </row>
    <row r="83" spans="1:19" x14ac:dyDescent="0.25">
      <c r="A83" s="13">
        <v>202561217</v>
      </c>
      <c r="B83" s="27" t="s">
        <v>69</v>
      </c>
      <c r="C83" s="28">
        <v>0</v>
      </c>
      <c r="D83" s="13">
        <v>681202</v>
      </c>
      <c r="E83" s="13" t="s">
        <v>2</v>
      </c>
      <c r="F83" s="13">
        <v>100</v>
      </c>
      <c r="G83" s="13">
        <v>100</v>
      </c>
      <c r="H83" s="13"/>
      <c r="I83" s="13"/>
      <c r="J83" s="13"/>
      <c r="K83" s="13">
        <v>100</v>
      </c>
      <c r="L83" s="22" t="s">
        <v>21</v>
      </c>
      <c r="M83" s="26" t="s">
        <v>55</v>
      </c>
      <c r="N83" s="13">
        <f>IFERROR(VLOOKUP($A:$A,[1]KION_IND_E_COM_LT!$A:$T,18,0),"")</f>
        <v>0</v>
      </c>
      <c r="O83" s="14">
        <v>1</v>
      </c>
      <c r="P83" s="15">
        <f t="shared" si="1"/>
        <v>100</v>
      </c>
      <c r="Q83" s="16">
        <v>44067</v>
      </c>
      <c r="R83" s="17">
        <v>6</v>
      </c>
      <c r="S83" s="13" t="s">
        <v>0</v>
      </c>
    </row>
    <row r="84" spans="1:19" x14ac:dyDescent="0.25">
      <c r="A84" s="13">
        <v>202561218</v>
      </c>
      <c r="B84" s="27" t="s">
        <v>69</v>
      </c>
      <c r="C84" s="28">
        <v>0</v>
      </c>
      <c r="D84" s="13">
        <v>681202</v>
      </c>
      <c r="E84" s="13" t="s">
        <v>2</v>
      </c>
      <c r="F84" s="13">
        <v>100</v>
      </c>
      <c r="G84" s="13">
        <v>100</v>
      </c>
      <c r="H84" s="13"/>
      <c r="I84" s="13"/>
      <c r="J84" s="13"/>
      <c r="K84" s="13">
        <v>100</v>
      </c>
      <c r="L84" s="22" t="s">
        <v>21</v>
      </c>
      <c r="M84" s="13" t="s">
        <v>55</v>
      </c>
      <c r="N84" s="13">
        <f>IFERROR(VLOOKUP($A:$A,[1]KION_IND_E_COM_LT!$A:$T,18,0),"")</f>
        <v>0</v>
      </c>
      <c r="O84" s="14">
        <v>1</v>
      </c>
      <c r="P84" s="15">
        <f t="shared" si="1"/>
        <v>100</v>
      </c>
      <c r="Q84" s="16">
        <v>44074</v>
      </c>
      <c r="R84" s="17">
        <v>7</v>
      </c>
      <c r="S84" s="13" t="s">
        <v>0</v>
      </c>
    </row>
    <row r="85" spans="1:19" x14ac:dyDescent="0.25">
      <c r="A85" s="13">
        <v>202561219</v>
      </c>
      <c r="B85" s="27" t="s">
        <v>69</v>
      </c>
      <c r="C85" s="28">
        <v>0</v>
      </c>
      <c r="D85" s="13">
        <v>681202</v>
      </c>
      <c r="E85" s="13" t="s">
        <v>2</v>
      </c>
      <c r="F85" s="13">
        <v>100</v>
      </c>
      <c r="G85" s="13">
        <v>100</v>
      </c>
      <c r="H85" s="13"/>
      <c r="I85" s="13"/>
      <c r="J85" s="13"/>
      <c r="K85" s="13">
        <v>100</v>
      </c>
      <c r="L85" s="22" t="s">
        <v>21</v>
      </c>
      <c r="M85" s="13" t="s">
        <v>55</v>
      </c>
      <c r="N85" s="13">
        <f>IFERROR(VLOOKUP($A:$A,[1]KION_IND_E_COM_LT!$A:$T,18,0),"")</f>
        <v>0</v>
      </c>
      <c r="O85" s="14">
        <v>1</v>
      </c>
      <c r="P85" s="15">
        <f t="shared" si="1"/>
        <v>100</v>
      </c>
      <c r="Q85" s="16">
        <v>44074</v>
      </c>
      <c r="R85" s="17">
        <v>7</v>
      </c>
      <c r="S85" s="13" t="s">
        <v>0</v>
      </c>
    </row>
    <row r="86" spans="1:19" x14ac:dyDescent="0.25">
      <c r="A86" s="13">
        <v>202561220</v>
      </c>
      <c r="B86" s="27" t="s">
        <v>69</v>
      </c>
      <c r="C86" s="28">
        <v>0</v>
      </c>
      <c r="D86" s="13">
        <v>681202</v>
      </c>
      <c r="E86" s="13" t="s">
        <v>2</v>
      </c>
      <c r="F86" s="13">
        <v>100</v>
      </c>
      <c r="G86" s="13">
        <v>100</v>
      </c>
      <c r="H86" s="13"/>
      <c r="I86" s="13"/>
      <c r="J86" s="13"/>
      <c r="K86" s="13">
        <v>100</v>
      </c>
      <c r="L86" s="22" t="s">
        <v>21</v>
      </c>
      <c r="M86" s="13" t="s">
        <v>55</v>
      </c>
      <c r="N86" s="13">
        <f>IFERROR(VLOOKUP($A:$A,[1]KION_IND_E_COM_LT!$A:$T,18,0),"")</f>
        <v>0</v>
      </c>
      <c r="O86" s="14">
        <v>1</v>
      </c>
      <c r="P86" s="15">
        <f t="shared" si="1"/>
        <v>100</v>
      </c>
      <c r="Q86" s="16">
        <v>44081</v>
      </c>
      <c r="R86" s="17">
        <v>8</v>
      </c>
      <c r="S86" s="13" t="s">
        <v>0</v>
      </c>
    </row>
    <row r="87" spans="1:19" x14ac:dyDescent="0.25">
      <c r="A87" s="13">
        <v>202561221</v>
      </c>
      <c r="B87" s="27" t="s">
        <v>69</v>
      </c>
      <c r="C87" s="28">
        <v>0</v>
      </c>
      <c r="D87" s="13">
        <v>681202</v>
      </c>
      <c r="E87" s="13" t="s">
        <v>2</v>
      </c>
      <c r="F87" s="13">
        <v>100</v>
      </c>
      <c r="G87" s="13">
        <v>100</v>
      </c>
      <c r="H87" s="13"/>
      <c r="I87" s="13"/>
      <c r="J87" s="13"/>
      <c r="K87" s="13">
        <v>100</v>
      </c>
      <c r="L87" s="22" t="s">
        <v>21</v>
      </c>
      <c r="M87" s="13" t="s">
        <v>55</v>
      </c>
      <c r="N87" s="13">
        <f>IFERROR(VLOOKUP($A:$A,[1]KION_IND_E_COM_LT!$A:$T,18,0),"")</f>
        <v>0</v>
      </c>
      <c r="O87" s="14">
        <v>1</v>
      </c>
      <c r="P87" s="15">
        <f t="shared" si="1"/>
        <v>100</v>
      </c>
      <c r="Q87" s="16">
        <v>44081</v>
      </c>
      <c r="R87" s="17">
        <v>8</v>
      </c>
      <c r="S87" s="13" t="s">
        <v>0</v>
      </c>
    </row>
    <row r="88" spans="1:19" x14ac:dyDescent="0.25">
      <c r="A88" s="13">
        <v>202561222</v>
      </c>
      <c r="B88" s="27" t="s">
        <v>69</v>
      </c>
      <c r="C88" s="28">
        <v>0</v>
      </c>
      <c r="D88" s="13">
        <v>681202</v>
      </c>
      <c r="E88" s="13" t="s">
        <v>2</v>
      </c>
      <c r="F88" s="13">
        <v>100</v>
      </c>
      <c r="G88" s="13">
        <v>100</v>
      </c>
      <c r="H88" s="13"/>
      <c r="I88" s="13"/>
      <c r="J88" s="13"/>
      <c r="K88" s="13">
        <v>100</v>
      </c>
      <c r="L88" s="22"/>
      <c r="M88" s="13" t="s">
        <v>23</v>
      </c>
      <c r="N88" s="13">
        <f>IFERROR(VLOOKUP($A:$A,[1]KION_IND_E_COM_LT!$A:$T,18,0),"")</f>
        <v>0</v>
      </c>
      <c r="O88" s="14">
        <v>1</v>
      </c>
      <c r="P88" s="15">
        <f t="shared" si="1"/>
        <v>100</v>
      </c>
      <c r="Q88" s="16">
        <v>44081</v>
      </c>
      <c r="R88" s="17">
        <v>8</v>
      </c>
      <c r="S88" s="13" t="s">
        <v>0</v>
      </c>
    </row>
    <row r="89" spans="1:19" x14ac:dyDescent="0.25">
      <c r="A89" s="13">
        <v>202562577</v>
      </c>
      <c r="B89" s="27" t="s">
        <v>73</v>
      </c>
      <c r="C89" s="28">
        <v>0</v>
      </c>
      <c r="D89" s="13">
        <v>681202</v>
      </c>
      <c r="E89" s="13" t="s">
        <v>2</v>
      </c>
      <c r="F89" s="13">
        <v>100</v>
      </c>
      <c r="G89" s="13">
        <v>100</v>
      </c>
      <c r="H89" s="13"/>
      <c r="I89" s="13"/>
      <c r="J89" s="13">
        <v>100</v>
      </c>
      <c r="K89" s="13">
        <v>0</v>
      </c>
      <c r="L89" s="22" t="s">
        <v>21</v>
      </c>
      <c r="M89" s="13" t="s">
        <v>30</v>
      </c>
      <c r="N89" s="13">
        <f>IFERROR(VLOOKUP($A:$A,[1]KION_IND_E_COM_LT!$A:$T,18,0),"")</f>
        <v>0</v>
      </c>
      <c r="O89" s="14"/>
      <c r="P89" s="15">
        <f t="shared" si="1"/>
        <v>0</v>
      </c>
      <c r="Q89" s="16"/>
      <c r="R89" s="17">
        <v>6</v>
      </c>
      <c r="S89" s="13" t="s">
        <v>0</v>
      </c>
    </row>
    <row r="90" spans="1:19" x14ac:dyDescent="0.25">
      <c r="A90" s="13">
        <v>202562578</v>
      </c>
      <c r="B90" s="27" t="s">
        <v>73</v>
      </c>
      <c r="C90" s="28">
        <v>0</v>
      </c>
      <c r="D90" s="13">
        <v>681202</v>
      </c>
      <c r="E90" s="13" t="s">
        <v>2</v>
      </c>
      <c r="F90" s="13">
        <v>100</v>
      </c>
      <c r="G90" s="13">
        <v>100</v>
      </c>
      <c r="H90" s="13"/>
      <c r="I90" s="13"/>
      <c r="J90" s="13">
        <v>100</v>
      </c>
      <c r="K90" s="13">
        <v>0</v>
      </c>
      <c r="L90" s="22" t="s">
        <v>21</v>
      </c>
      <c r="M90" s="13" t="s">
        <v>30</v>
      </c>
      <c r="N90" s="13">
        <f>IFERROR(VLOOKUP($A:$A,[1]KION_IND_E_COM_LT!$A:$T,18,0),"")</f>
        <v>0</v>
      </c>
      <c r="O90" s="14"/>
      <c r="P90" s="15">
        <f t="shared" si="1"/>
        <v>0</v>
      </c>
      <c r="Q90" s="16"/>
      <c r="R90" s="17">
        <v>6</v>
      </c>
      <c r="S90" s="13" t="s">
        <v>0</v>
      </c>
    </row>
    <row r="91" spans="1:19" x14ac:dyDescent="0.25">
      <c r="A91" s="13">
        <v>202562579</v>
      </c>
      <c r="B91" s="27" t="s">
        <v>73</v>
      </c>
      <c r="C91" s="28">
        <v>0</v>
      </c>
      <c r="D91" s="13">
        <v>681202</v>
      </c>
      <c r="E91" s="13" t="s">
        <v>2</v>
      </c>
      <c r="F91" s="13">
        <v>100</v>
      </c>
      <c r="G91" s="13">
        <v>100</v>
      </c>
      <c r="H91" s="13"/>
      <c r="I91" s="13"/>
      <c r="J91" s="13"/>
      <c r="K91" s="13">
        <v>100</v>
      </c>
      <c r="L91" s="22"/>
      <c r="M91" s="13"/>
      <c r="N91" s="13">
        <f>IFERROR(VLOOKUP($A:$A,[1]KION_IND_E_COM_LT!$A:$T,18,0),"")</f>
        <v>0</v>
      </c>
      <c r="O91" s="14">
        <v>1</v>
      </c>
      <c r="P91" s="15">
        <f t="shared" si="1"/>
        <v>100</v>
      </c>
      <c r="Q91" s="16">
        <v>44067</v>
      </c>
      <c r="R91" s="17">
        <v>6</v>
      </c>
      <c r="S91" s="13" t="s">
        <v>0</v>
      </c>
    </row>
    <row r="92" spans="1:19" x14ac:dyDescent="0.25">
      <c r="A92" s="13">
        <v>202562580</v>
      </c>
      <c r="B92" s="27" t="s">
        <v>73</v>
      </c>
      <c r="C92" s="28">
        <v>0</v>
      </c>
      <c r="D92" s="13">
        <v>681202</v>
      </c>
      <c r="E92" s="13" t="s">
        <v>2</v>
      </c>
      <c r="F92" s="13">
        <v>100</v>
      </c>
      <c r="G92" s="13">
        <v>100</v>
      </c>
      <c r="H92" s="13"/>
      <c r="I92" s="13"/>
      <c r="J92" s="13"/>
      <c r="K92" s="13">
        <v>100</v>
      </c>
      <c r="L92" s="22" t="s">
        <v>21</v>
      </c>
      <c r="M92" s="13" t="s">
        <v>62</v>
      </c>
      <c r="N92" s="13">
        <f>IFERROR(VLOOKUP($A:$A,[1]KION_IND_E_COM_LT!$A:$T,18,0),"")</f>
        <v>0</v>
      </c>
      <c r="O92" s="14">
        <v>1</v>
      </c>
      <c r="P92" s="15">
        <f t="shared" si="1"/>
        <v>100</v>
      </c>
      <c r="Q92" s="16">
        <v>44067</v>
      </c>
      <c r="R92" s="17">
        <v>6</v>
      </c>
      <c r="S92" s="13" t="s">
        <v>0</v>
      </c>
    </row>
    <row r="93" spans="1:19" x14ac:dyDescent="0.25">
      <c r="A93" s="13">
        <v>202562581</v>
      </c>
      <c r="B93" s="27" t="s">
        <v>73</v>
      </c>
      <c r="C93" s="28">
        <v>0</v>
      </c>
      <c r="D93" s="13">
        <v>681202</v>
      </c>
      <c r="E93" s="13" t="s">
        <v>2</v>
      </c>
      <c r="F93" s="13">
        <v>100</v>
      </c>
      <c r="G93" s="13">
        <v>100</v>
      </c>
      <c r="H93" s="13"/>
      <c r="I93" s="13"/>
      <c r="J93" s="13"/>
      <c r="K93" s="13">
        <v>100</v>
      </c>
      <c r="L93" s="22" t="s">
        <v>21</v>
      </c>
      <c r="M93" s="13" t="s">
        <v>62</v>
      </c>
      <c r="N93" s="13">
        <f>IFERROR(VLOOKUP($A:$A,[1]KION_IND_E_COM_LT!$A:$T,18,0),"")</f>
        <v>0</v>
      </c>
      <c r="O93" s="14">
        <v>1</v>
      </c>
      <c r="P93" s="15">
        <f t="shared" si="1"/>
        <v>100</v>
      </c>
      <c r="Q93" s="16">
        <v>44067</v>
      </c>
      <c r="R93" s="17">
        <v>6</v>
      </c>
      <c r="S93" s="13" t="s">
        <v>0</v>
      </c>
    </row>
    <row r="94" spans="1:19" x14ac:dyDescent="0.25">
      <c r="A94" s="13">
        <v>202562582</v>
      </c>
      <c r="B94" s="27" t="s">
        <v>73</v>
      </c>
      <c r="C94" s="28">
        <v>0</v>
      </c>
      <c r="D94" s="13">
        <v>681202</v>
      </c>
      <c r="E94" s="13" t="s">
        <v>2</v>
      </c>
      <c r="F94" s="13">
        <v>100</v>
      </c>
      <c r="G94" s="13">
        <v>100</v>
      </c>
      <c r="H94" s="13"/>
      <c r="I94" s="13"/>
      <c r="J94" s="13"/>
      <c r="K94" s="13">
        <v>100</v>
      </c>
      <c r="L94" s="22" t="s">
        <v>21</v>
      </c>
      <c r="M94" s="13" t="s">
        <v>62</v>
      </c>
      <c r="N94" s="13">
        <f>IFERROR(VLOOKUP($A:$A,[1]KION_IND_E_COM_LT!$A:$T,18,0),"")</f>
        <v>0</v>
      </c>
      <c r="O94" s="14">
        <v>1</v>
      </c>
      <c r="P94" s="15">
        <f t="shared" si="1"/>
        <v>100</v>
      </c>
      <c r="Q94" s="16">
        <v>44074</v>
      </c>
      <c r="R94" s="17">
        <v>7</v>
      </c>
      <c r="S94" s="13" t="s">
        <v>0</v>
      </c>
    </row>
    <row r="95" spans="1:19" x14ac:dyDescent="0.25">
      <c r="A95" s="13">
        <v>202562583</v>
      </c>
      <c r="B95" s="27" t="s">
        <v>73</v>
      </c>
      <c r="C95" s="28">
        <v>0</v>
      </c>
      <c r="D95" s="13">
        <v>681202</v>
      </c>
      <c r="E95" s="13" t="s">
        <v>2</v>
      </c>
      <c r="F95" s="13">
        <v>100</v>
      </c>
      <c r="G95" s="13">
        <v>100</v>
      </c>
      <c r="H95" s="13"/>
      <c r="I95" s="13"/>
      <c r="J95" s="13"/>
      <c r="K95" s="13">
        <v>100</v>
      </c>
      <c r="L95" s="22" t="s">
        <v>21</v>
      </c>
      <c r="M95" s="13" t="s">
        <v>62</v>
      </c>
      <c r="N95" s="13">
        <f>IFERROR(VLOOKUP($A:$A,[1]KION_IND_E_COM_LT!$A:$T,18,0),"")</f>
        <v>0</v>
      </c>
      <c r="O95" s="14">
        <v>1</v>
      </c>
      <c r="P95" s="15">
        <f t="shared" si="1"/>
        <v>100</v>
      </c>
      <c r="Q95" s="16">
        <v>44074</v>
      </c>
      <c r="R95" s="17">
        <v>7</v>
      </c>
      <c r="S95" s="13" t="s">
        <v>0</v>
      </c>
    </row>
    <row r="96" spans="1:19" x14ac:dyDescent="0.25">
      <c r="A96" s="13">
        <v>202562584</v>
      </c>
      <c r="B96" s="27" t="s">
        <v>73</v>
      </c>
      <c r="C96" s="28">
        <v>0</v>
      </c>
      <c r="D96" s="13">
        <v>681202</v>
      </c>
      <c r="E96" s="13" t="s">
        <v>2</v>
      </c>
      <c r="F96" s="13">
        <v>100</v>
      </c>
      <c r="G96" s="13">
        <v>100</v>
      </c>
      <c r="H96" s="13"/>
      <c r="I96" s="13"/>
      <c r="J96" s="13"/>
      <c r="K96" s="13">
        <v>100</v>
      </c>
      <c r="L96" s="22" t="s">
        <v>21</v>
      </c>
      <c r="M96" s="13" t="s">
        <v>62</v>
      </c>
      <c r="N96" s="13">
        <f>IFERROR(VLOOKUP($A:$A,[1]KION_IND_E_COM_LT!$A:$T,18,0),"")</f>
        <v>0</v>
      </c>
      <c r="O96" s="14">
        <v>1</v>
      </c>
      <c r="P96" s="15">
        <f t="shared" si="1"/>
        <v>100</v>
      </c>
      <c r="Q96" s="16">
        <v>44074</v>
      </c>
      <c r="R96" s="17">
        <v>7</v>
      </c>
      <c r="S96" s="13" t="s">
        <v>0</v>
      </c>
    </row>
    <row r="97" spans="1:19" x14ac:dyDescent="0.25">
      <c r="A97" s="13">
        <v>202562585</v>
      </c>
      <c r="B97" s="27" t="s">
        <v>73</v>
      </c>
      <c r="C97" s="28">
        <v>0</v>
      </c>
      <c r="D97" s="13">
        <v>681202</v>
      </c>
      <c r="E97" s="13" t="s">
        <v>2</v>
      </c>
      <c r="F97" s="13">
        <v>100</v>
      </c>
      <c r="G97" s="13">
        <v>100</v>
      </c>
      <c r="H97" s="13"/>
      <c r="I97" s="13"/>
      <c r="J97" s="13"/>
      <c r="K97" s="13">
        <v>100</v>
      </c>
      <c r="L97" s="22" t="s">
        <v>21</v>
      </c>
      <c r="M97" s="13" t="s">
        <v>62</v>
      </c>
      <c r="N97" s="13">
        <f>IFERROR(VLOOKUP($A:$A,[1]KION_IND_E_COM_LT!$A:$T,18,0),"")</f>
        <v>0</v>
      </c>
      <c r="O97" s="14">
        <v>1</v>
      </c>
      <c r="P97" s="15">
        <f t="shared" si="1"/>
        <v>100</v>
      </c>
      <c r="Q97" s="16">
        <v>44074</v>
      </c>
      <c r="R97" s="17">
        <v>7</v>
      </c>
      <c r="S97" s="13" t="s">
        <v>0</v>
      </c>
    </row>
    <row r="98" spans="1:19" x14ac:dyDescent="0.25">
      <c r="A98" s="13">
        <v>202562586</v>
      </c>
      <c r="B98" s="27" t="s">
        <v>73</v>
      </c>
      <c r="C98" s="28">
        <v>0</v>
      </c>
      <c r="D98" s="13">
        <v>681202</v>
      </c>
      <c r="E98" s="13" t="s">
        <v>2</v>
      </c>
      <c r="F98" s="13">
        <v>100</v>
      </c>
      <c r="G98" s="13">
        <v>100</v>
      </c>
      <c r="H98" s="13"/>
      <c r="I98" s="13"/>
      <c r="J98" s="13"/>
      <c r="K98" s="13">
        <v>100</v>
      </c>
      <c r="L98" s="22" t="s">
        <v>21</v>
      </c>
      <c r="M98" s="13" t="s">
        <v>62</v>
      </c>
      <c r="N98" s="13">
        <f>IFERROR(VLOOKUP($A:$A,[1]KION_IND_E_COM_LT!$A:$T,18,0),"")</f>
        <v>0</v>
      </c>
      <c r="O98" s="14">
        <v>1</v>
      </c>
      <c r="P98" s="15">
        <f t="shared" si="1"/>
        <v>100</v>
      </c>
      <c r="Q98" s="16">
        <v>44074</v>
      </c>
      <c r="R98" s="17">
        <v>7</v>
      </c>
      <c r="S98" s="13" t="s">
        <v>0</v>
      </c>
    </row>
    <row r="99" spans="1:19" x14ac:dyDescent="0.25">
      <c r="A99" s="13">
        <v>202562587</v>
      </c>
      <c r="B99" s="27" t="s">
        <v>73</v>
      </c>
      <c r="C99" s="28">
        <v>0</v>
      </c>
      <c r="D99" s="13">
        <v>681202</v>
      </c>
      <c r="E99" s="13" t="s">
        <v>2</v>
      </c>
      <c r="F99" s="13">
        <v>100</v>
      </c>
      <c r="G99" s="13">
        <v>100</v>
      </c>
      <c r="H99" s="13"/>
      <c r="I99" s="13"/>
      <c r="J99" s="13"/>
      <c r="K99" s="13">
        <v>100</v>
      </c>
      <c r="L99" s="22" t="s">
        <v>21</v>
      </c>
      <c r="M99" s="13" t="s">
        <v>62</v>
      </c>
      <c r="N99" s="13">
        <f>IFERROR(VLOOKUP($A:$A,[1]KION_IND_E_COM_LT!$A:$T,18,0),"")</f>
        <v>0</v>
      </c>
      <c r="O99" s="14">
        <v>1</v>
      </c>
      <c r="P99" s="15">
        <f t="shared" si="1"/>
        <v>100</v>
      </c>
      <c r="Q99" s="16">
        <v>44081</v>
      </c>
      <c r="R99" s="17">
        <v>8</v>
      </c>
      <c r="S99" s="13" t="s">
        <v>0</v>
      </c>
    </row>
    <row r="100" spans="1:19" x14ac:dyDescent="0.25">
      <c r="A100" s="13">
        <v>202562588</v>
      </c>
      <c r="B100" s="27" t="s">
        <v>73</v>
      </c>
      <c r="C100" s="28">
        <v>0</v>
      </c>
      <c r="D100" s="13">
        <v>681202</v>
      </c>
      <c r="E100" s="13" t="s">
        <v>2</v>
      </c>
      <c r="F100" s="13">
        <v>100</v>
      </c>
      <c r="G100" s="13">
        <v>100</v>
      </c>
      <c r="H100" s="13"/>
      <c r="I100" s="13"/>
      <c r="J100" s="13"/>
      <c r="K100" s="13">
        <v>100</v>
      </c>
      <c r="L100" s="22" t="s">
        <v>21</v>
      </c>
      <c r="M100" s="13" t="s">
        <v>62</v>
      </c>
      <c r="N100" s="13">
        <f>IFERROR(VLOOKUP($A:$A,[1]KION_IND_E_COM_LT!$A:$T,18,0),"")</f>
        <v>0</v>
      </c>
      <c r="O100" s="14">
        <v>1</v>
      </c>
      <c r="P100" s="15">
        <f t="shared" si="1"/>
        <v>100</v>
      </c>
      <c r="Q100" s="16">
        <v>44081</v>
      </c>
      <c r="R100" s="17">
        <v>8</v>
      </c>
      <c r="S100" s="13" t="s">
        <v>0</v>
      </c>
    </row>
    <row r="101" spans="1:19" x14ac:dyDescent="0.25">
      <c r="A101" s="13">
        <v>202562589</v>
      </c>
      <c r="B101" s="27" t="s">
        <v>73</v>
      </c>
      <c r="C101" s="28">
        <v>0</v>
      </c>
      <c r="D101" s="13">
        <v>681202</v>
      </c>
      <c r="E101" s="13" t="s">
        <v>2</v>
      </c>
      <c r="F101" s="13">
        <v>100</v>
      </c>
      <c r="G101" s="13">
        <v>100</v>
      </c>
      <c r="H101" s="13"/>
      <c r="I101" s="13"/>
      <c r="J101" s="13"/>
      <c r="K101" s="13">
        <v>100</v>
      </c>
      <c r="L101" s="22" t="s">
        <v>21</v>
      </c>
      <c r="M101" s="13" t="s">
        <v>62</v>
      </c>
      <c r="N101" s="13">
        <f>IFERROR(VLOOKUP($A:$A,[1]KION_IND_E_COM_LT!$A:$T,18,0),"")</f>
        <v>0</v>
      </c>
      <c r="O101" s="14">
        <v>1</v>
      </c>
      <c r="P101" s="15">
        <f t="shared" si="1"/>
        <v>100</v>
      </c>
      <c r="Q101" s="16">
        <v>44081</v>
      </c>
      <c r="R101" s="17">
        <v>8</v>
      </c>
      <c r="S101" s="13" t="s">
        <v>0</v>
      </c>
    </row>
    <row r="102" spans="1:19" x14ac:dyDescent="0.25">
      <c r="A102" s="13">
        <v>202562590</v>
      </c>
      <c r="B102" s="27" t="s">
        <v>73</v>
      </c>
      <c r="C102" s="28">
        <v>0</v>
      </c>
      <c r="D102" s="13">
        <v>681202</v>
      </c>
      <c r="E102" s="13" t="s">
        <v>2</v>
      </c>
      <c r="F102" s="13">
        <v>100</v>
      </c>
      <c r="G102" s="13">
        <v>100</v>
      </c>
      <c r="H102" s="13"/>
      <c r="I102" s="13"/>
      <c r="J102" s="13"/>
      <c r="K102" s="13">
        <v>100</v>
      </c>
      <c r="L102" s="22" t="s">
        <v>21</v>
      </c>
      <c r="M102" s="13" t="s">
        <v>62</v>
      </c>
      <c r="N102" s="13">
        <f>IFERROR(VLOOKUP($A:$A,[1]KION_IND_E_COM_LT!$A:$T,18,0),"")</f>
        <v>0</v>
      </c>
      <c r="O102" s="14">
        <v>1</v>
      </c>
      <c r="P102" s="15">
        <f t="shared" si="1"/>
        <v>100</v>
      </c>
      <c r="Q102" s="16">
        <v>44081</v>
      </c>
      <c r="R102" s="17">
        <v>8</v>
      </c>
      <c r="S102" s="13" t="s">
        <v>0</v>
      </c>
    </row>
    <row r="103" spans="1:19" x14ac:dyDescent="0.25">
      <c r="A103" s="13">
        <v>202562591</v>
      </c>
      <c r="B103" s="27" t="s">
        <v>73</v>
      </c>
      <c r="C103" s="28">
        <v>0</v>
      </c>
      <c r="D103" s="13">
        <v>681202</v>
      </c>
      <c r="E103" s="13" t="s">
        <v>2</v>
      </c>
      <c r="F103" s="13">
        <v>100</v>
      </c>
      <c r="G103" s="13">
        <v>100</v>
      </c>
      <c r="H103" s="13"/>
      <c r="I103" s="13"/>
      <c r="J103" s="13"/>
      <c r="K103" s="13">
        <v>100</v>
      </c>
      <c r="L103" s="22" t="s">
        <v>21</v>
      </c>
      <c r="M103" s="13" t="s">
        <v>62</v>
      </c>
      <c r="N103" s="13">
        <f>IFERROR(VLOOKUP($A:$A,[1]KION_IND_E_COM_LT!$A:$T,18,0),"")</f>
        <v>0</v>
      </c>
      <c r="O103" s="14">
        <v>1</v>
      </c>
      <c r="P103" s="15">
        <f t="shared" si="1"/>
        <v>100</v>
      </c>
      <c r="Q103" s="16">
        <v>44081</v>
      </c>
      <c r="R103" s="17">
        <v>8</v>
      </c>
      <c r="S103" s="13" t="s">
        <v>0</v>
      </c>
    </row>
    <row r="104" spans="1:19" x14ac:dyDescent="0.25">
      <c r="A104" s="13">
        <v>202562592</v>
      </c>
      <c r="B104" s="27" t="s">
        <v>73</v>
      </c>
      <c r="C104" s="28">
        <v>0</v>
      </c>
      <c r="D104" s="13">
        <v>681202</v>
      </c>
      <c r="E104" s="13" t="s">
        <v>2</v>
      </c>
      <c r="F104" s="13">
        <v>100</v>
      </c>
      <c r="G104" s="13">
        <v>100</v>
      </c>
      <c r="H104" s="13"/>
      <c r="I104" s="13"/>
      <c r="J104" s="13"/>
      <c r="K104" s="13">
        <v>100</v>
      </c>
      <c r="L104" s="22" t="s">
        <v>21</v>
      </c>
      <c r="M104" s="13" t="s">
        <v>62</v>
      </c>
      <c r="N104" s="13">
        <f>IFERROR(VLOOKUP($A:$A,[1]KION_IND_E_COM_LT!$A:$T,18,0),"")</f>
        <v>0</v>
      </c>
      <c r="O104" s="14">
        <v>1</v>
      </c>
      <c r="P104" s="15">
        <f t="shared" si="1"/>
        <v>100</v>
      </c>
      <c r="Q104" s="16">
        <v>44081</v>
      </c>
      <c r="R104" s="17">
        <v>8</v>
      </c>
      <c r="S104" s="13" t="s">
        <v>0</v>
      </c>
    </row>
    <row r="105" spans="1:19" x14ac:dyDescent="0.25">
      <c r="A105" s="13">
        <v>202562593</v>
      </c>
      <c r="B105" s="27" t="s">
        <v>73</v>
      </c>
      <c r="C105" s="28">
        <v>0</v>
      </c>
      <c r="D105" s="13">
        <v>681202</v>
      </c>
      <c r="E105" s="13" t="s">
        <v>2</v>
      </c>
      <c r="F105" s="13">
        <v>100</v>
      </c>
      <c r="G105" s="13">
        <v>100</v>
      </c>
      <c r="H105" s="13"/>
      <c r="I105" s="13"/>
      <c r="J105" s="13"/>
      <c r="K105" s="13">
        <v>100</v>
      </c>
      <c r="L105" s="22" t="s">
        <v>21</v>
      </c>
      <c r="M105" s="13" t="s">
        <v>62</v>
      </c>
      <c r="N105" s="13">
        <f>IFERROR(VLOOKUP($A:$A,[1]KION_IND_E_COM_LT!$A:$T,18,0),"")</f>
        <v>0</v>
      </c>
      <c r="O105" s="14">
        <v>1</v>
      </c>
      <c r="P105" s="15">
        <f t="shared" si="1"/>
        <v>100</v>
      </c>
      <c r="Q105" s="16">
        <v>44081</v>
      </c>
      <c r="R105" s="17">
        <v>8</v>
      </c>
      <c r="S105" s="13" t="s">
        <v>0</v>
      </c>
    </row>
    <row r="106" spans="1:19" x14ac:dyDescent="0.25">
      <c r="A106" s="13">
        <v>202562594</v>
      </c>
      <c r="B106" s="27" t="s">
        <v>73</v>
      </c>
      <c r="C106" s="28">
        <v>0</v>
      </c>
      <c r="D106" s="13">
        <v>681202</v>
      </c>
      <c r="E106" s="13" t="s">
        <v>2</v>
      </c>
      <c r="F106" s="13">
        <v>100</v>
      </c>
      <c r="G106" s="13">
        <v>100</v>
      </c>
      <c r="H106" s="13"/>
      <c r="I106" s="13"/>
      <c r="J106" s="13"/>
      <c r="K106" s="13">
        <v>100</v>
      </c>
      <c r="L106" s="22" t="s">
        <v>21</v>
      </c>
      <c r="M106" s="13" t="s">
        <v>62</v>
      </c>
      <c r="N106" s="13">
        <f>IFERROR(VLOOKUP($A:$A,[1]KION_IND_E_COM_LT!$A:$T,18,0),"")</f>
        <v>0</v>
      </c>
      <c r="O106" s="14">
        <v>1</v>
      </c>
      <c r="P106" s="15">
        <f t="shared" si="1"/>
        <v>100</v>
      </c>
      <c r="Q106" s="16">
        <v>44088</v>
      </c>
      <c r="R106" s="17">
        <v>9</v>
      </c>
      <c r="S106" s="13" t="s">
        <v>0</v>
      </c>
    </row>
    <row r="107" spans="1:19" x14ac:dyDescent="0.25">
      <c r="A107" s="13">
        <v>202562595</v>
      </c>
      <c r="B107" s="27" t="s">
        <v>73</v>
      </c>
      <c r="C107" s="28">
        <v>0</v>
      </c>
      <c r="D107" s="13">
        <v>681202</v>
      </c>
      <c r="E107" s="13" t="s">
        <v>2</v>
      </c>
      <c r="F107" s="13">
        <v>100</v>
      </c>
      <c r="G107" s="13">
        <v>100</v>
      </c>
      <c r="H107" s="13"/>
      <c r="I107" s="13"/>
      <c r="J107" s="13"/>
      <c r="K107" s="13">
        <v>100</v>
      </c>
      <c r="L107" s="22" t="s">
        <v>21</v>
      </c>
      <c r="M107" s="13" t="s">
        <v>62</v>
      </c>
      <c r="N107" s="13">
        <f>IFERROR(VLOOKUP($A:$A,[1]KION_IND_E_COM_LT!$A:$T,18,0),"")</f>
        <v>0</v>
      </c>
      <c r="O107" s="14">
        <v>1</v>
      </c>
      <c r="P107" s="15">
        <f t="shared" si="1"/>
        <v>100</v>
      </c>
      <c r="Q107" s="16">
        <v>44088</v>
      </c>
      <c r="R107" s="17">
        <v>9</v>
      </c>
      <c r="S107" s="13" t="s">
        <v>0</v>
      </c>
    </row>
    <row r="108" spans="1:19" x14ac:dyDescent="0.25">
      <c r="A108" s="13">
        <v>202562596</v>
      </c>
      <c r="B108" s="27" t="s">
        <v>73</v>
      </c>
      <c r="C108" s="28">
        <v>0</v>
      </c>
      <c r="D108" s="13">
        <v>681202</v>
      </c>
      <c r="E108" s="13" t="s">
        <v>2</v>
      </c>
      <c r="F108" s="13">
        <v>100</v>
      </c>
      <c r="G108" s="13">
        <v>100</v>
      </c>
      <c r="H108" s="13"/>
      <c r="I108" s="13"/>
      <c r="J108" s="13"/>
      <c r="K108" s="13">
        <v>100</v>
      </c>
      <c r="L108" s="22" t="s">
        <v>21</v>
      </c>
      <c r="M108" s="13" t="s">
        <v>62</v>
      </c>
      <c r="N108" s="13">
        <f>IFERROR(VLOOKUP($A:$A,[1]KION_IND_E_COM_LT!$A:$T,18,0),"")</f>
        <v>0</v>
      </c>
      <c r="O108" s="14">
        <v>1</v>
      </c>
      <c r="P108" s="15">
        <f t="shared" si="1"/>
        <v>100</v>
      </c>
      <c r="Q108" s="16">
        <v>44088</v>
      </c>
      <c r="R108" s="17">
        <v>9</v>
      </c>
      <c r="S108" s="13" t="s">
        <v>0</v>
      </c>
    </row>
    <row r="109" spans="1:19" x14ac:dyDescent="0.25">
      <c r="A109" s="13">
        <v>202562597</v>
      </c>
      <c r="B109" s="27" t="s">
        <v>73</v>
      </c>
      <c r="C109" s="28">
        <v>0</v>
      </c>
      <c r="D109" s="13">
        <v>681202</v>
      </c>
      <c r="E109" s="13" t="s">
        <v>2</v>
      </c>
      <c r="F109" s="13">
        <v>100</v>
      </c>
      <c r="G109" s="13">
        <v>100</v>
      </c>
      <c r="H109" s="13"/>
      <c r="I109" s="13"/>
      <c r="J109" s="13"/>
      <c r="K109" s="13">
        <v>100</v>
      </c>
      <c r="L109" s="22" t="s">
        <v>21</v>
      </c>
      <c r="M109" s="13" t="s">
        <v>62</v>
      </c>
      <c r="N109" s="13">
        <f>IFERROR(VLOOKUP($A:$A,[1]KION_IND_E_COM_LT!$A:$T,18,0),"")</f>
        <v>0</v>
      </c>
      <c r="O109" s="14">
        <v>1</v>
      </c>
      <c r="P109" s="15">
        <f t="shared" si="1"/>
        <v>100</v>
      </c>
      <c r="Q109" s="16">
        <v>44088</v>
      </c>
      <c r="R109" s="17">
        <v>9</v>
      </c>
      <c r="S109" s="13" t="s">
        <v>0</v>
      </c>
    </row>
    <row r="110" spans="1:19" x14ac:dyDescent="0.25">
      <c r="A110" s="13">
        <v>202562598</v>
      </c>
      <c r="B110" s="27" t="s">
        <v>73</v>
      </c>
      <c r="C110" s="28">
        <v>0</v>
      </c>
      <c r="D110" s="13">
        <v>681202</v>
      </c>
      <c r="E110" s="13" t="s">
        <v>2</v>
      </c>
      <c r="F110" s="13">
        <v>100</v>
      </c>
      <c r="G110" s="13">
        <v>100</v>
      </c>
      <c r="H110" s="13"/>
      <c r="I110" s="13"/>
      <c r="J110" s="13"/>
      <c r="K110" s="13">
        <v>100</v>
      </c>
      <c r="L110" s="22" t="s">
        <v>21</v>
      </c>
      <c r="M110" s="13" t="s">
        <v>62</v>
      </c>
      <c r="N110" s="13">
        <f>IFERROR(VLOOKUP($A:$A,[1]KION_IND_E_COM_LT!$A:$T,18,0),"")</f>
        <v>0</v>
      </c>
      <c r="O110" s="14">
        <v>1</v>
      </c>
      <c r="P110" s="15">
        <f t="shared" si="1"/>
        <v>100</v>
      </c>
      <c r="Q110" s="16">
        <v>44088</v>
      </c>
      <c r="R110" s="17">
        <v>9</v>
      </c>
      <c r="S110" s="13" t="s">
        <v>0</v>
      </c>
    </row>
    <row r="111" spans="1:19" x14ac:dyDescent="0.25">
      <c r="A111" s="13">
        <v>202562599</v>
      </c>
      <c r="B111" s="27" t="s">
        <v>73</v>
      </c>
      <c r="C111" s="28">
        <v>0</v>
      </c>
      <c r="D111" s="13">
        <v>681202</v>
      </c>
      <c r="E111" s="13" t="s">
        <v>2</v>
      </c>
      <c r="F111" s="13">
        <v>100</v>
      </c>
      <c r="G111" s="13">
        <v>100</v>
      </c>
      <c r="H111" s="13"/>
      <c r="I111" s="13"/>
      <c r="J111" s="13"/>
      <c r="K111" s="13">
        <v>100</v>
      </c>
      <c r="L111" s="22" t="s">
        <v>21</v>
      </c>
      <c r="M111" s="13" t="s">
        <v>62</v>
      </c>
      <c r="N111" s="13">
        <f>IFERROR(VLOOKUP($A:$A,[1]KION_IND_E_COM_LT!$A:$T,18,0),"")</f>
        <v>0</v>
      </c>
      <c r="O111" s="14">
        <v>1</v>
      </c>
      <c r="P111" s="15">
        <f t="shared" si="1"/>
        <v>100</v>
      </c>
      <c r="Q111" s="16">
        <v>44088</v>
      </c>
      <c r="R111" s="17">
        <v>9</v>
      </c>
      <c r="S111" s="13" t="s">
        <v>0</v>
      </c>
    </row>
    <row r="112" spans="1:19" x14ac:dyDescent="0.25">
      <c r="A112" s="13">
        <v>202562600</v>
      </c>
      <c r="B112" s="27" t="s">
        <v>73</v>
      </c>
      <c r="C112" s="28">
        <v>0</v>
      </c>
      <c r="D112" s="13">
        <v>681202</v>
      </c>
      <c r="E112" s="13" t="s">
        <v>2</v>
      </c>
      <c r="F112" s="13">
        <v>100</v>
      </c>
      <c r="G112" s="13">
        <v>100</v>
      </c>
      <c r="H112" s="13"/>
      <c r="I112" s="13"/>
      <c r="J112" s="13"/>
      <c r="K112" s="13">
        <v>100</v>
      </c>
      <c r="L112" s="22"/>
      <c r="M112" s="13" t="s">
        <v>23</v>
      </c>
      <c r="N112" s="13" t="str">
        <f>IFERROR(VLOOKUP($A:$A,[1]KION_IND_E_COM_LT!$A:$T,18,0),"")</f>
        <v/>
      </c>
      <c r="O112" s="14">
        <v>1</v>
      </c>
      <c r="P112" s="15">
        <f t="shared" si="1"/>
        <v>100</v>
      </c>
      <c r="Q112" s="16">
        <v>44088</v>
      </c>
      <c r="R112" s="17">
        <v>9</v>
      </c>
      <c r="S112" s="13" t="s">
        <v>0</v>
      </c>
    </row>
    <row r="113" spans="1:19" x14ac:dyDescent="0.25">
      <c r="A113" s="13">
        <v>202562601</v>
      </c>
      <c r="B113" s="27" t="s">
        <v>73</v>
      </c>
      <c r="C113" s="28">
        <v>0</v>
      </c>
      <c r="D113" s="13">
        <v>681202</v>
      </c>
      <c r="E113" s="13" t="s">
        <v>2</v>
      </c>
      <c r="F113" s="13">
        <v>100</v>
      </c>
      <c r="G113" s="13">
        <v>100</v>
      </c>
      <c r="H113" s="13"/>
      <c r="I113" s="13"/>
      <c r="J113" s="13"/>
      <c r="K113" s="13">
        <v>100</v>
      </c>
      <c r="L113" s="22"/>
      <c r="M113" s="13" t="s">
        <v>23</v>
      </c>
      <c r="N113" s="13" t="str">
        <f>IFERROR(VLOOKUP($A:$A,[1]KION_IND_E_COM_LT!$A:$T,18,0),"")</f>
        <v/>
      </c>
      <c r="O113" s="14">
        <v>1</v>
      </c>
      <c r="P113" s="15">
        <f t="shared" si="1"/>
        <v>100</v>
      </c>
      <c r="Q113" s="16">
        <v>44088</v>
      </c>
      <c r="R113" s="17">
        <v>9</v>
      </c>
      <c r="S113" s="13" t="s">
        <v>0</v>
      </c>
    </row>
    <row r="114" spans="1:19" x14ac:dyDescent="0.25">
      <c r="A114" s="13">
        <v>202562602</v>
      </c>
      <c r="B114" s="27" t="s">
        <v>73</v>
      </c>
      <c r="C114" s="28">
        <v>0</v>
      </c>
      <c r="D114" s="13">
        <v>681202</v>
      </c>
      <c r="E114" s="13" t="s">
        <v>2</v>
      </c>
      <c r="F114" s="13">
        <v>100</v>
      </c>
      <c r="G114" s="13">
        <v>100</v>
      </c>
      <c r="H114" s="13"/>
      <c r="I114" s="13"/>
      <c r="J114" s="13"/>
      <c r="K114" s="13">
        <v>100</v>
      </c>
      <c r="L114" s="22"/>
      <c r="M114" s="13" t="s">
        <v>23</v>
      </c>
      <c r="N114" s="13" t="str">
        <f>IFERROR(VLOOKUP($A:$A,[1]KION_IND_E_COM_LT!$A:$T,18,0),"")</f>
        <v/>
      </c>
      <c r="O114" s="14">
        <v>1</v>
      </c>
      <c r="P114" s="15">
        <f t="shared" si="1"/>
        <v>100</v>
      </c>
      <c r="Q114" s="16">
        <v>44088</v>
      </c>
      <c r="R114" s="17">
        <v>9</v>
      </c>
      <c r="S114" s="13" t="s">
        <v>0</v>
      </c>
    </row>
    <row r="115" spans="1:19" x14ac:dyDescent="0.25">
      <c r="A115" s="13">
        <v>202562603</v>
      </c>
      <c r="B115" s="27" t="s">
        <v>73</v>
      </c>
      <c r="C115" s="28">
        <v>0</v>
      </c>
      <c r="D115" s="13">
        <v>681202</v>
      </c>
      <c r="E115" s="13" t="s">
        <v>2</v>
      </c>
      <c r="F115" s="13">
        <v>100</v>
      </c>
      <c r="G115" s="13">
        <v>100</v>
      </c>
      <c r="H115" s="13"/>
      <c r="I115" s="13"/>
      <c r="J115" s="13"/>
      <c r="K115" s="13">
        <v>100</v>
      </c>
      <c r="L115" s="22"/>
      <c r="M115" s="13" t="s">
        <v>23</v>
      </c>
      <c r="N115" s="13" t="str">
        <f>IFERROR(VLOOKUP($A:$A,[1]KION_IND_E_COM_LT!$A:$T,18,0),"")</f>
        <v/>
      </c>
      <c r="O115" s="14">
        <v>1</v>
      </c>
      <c r="P115" s="15">
        <f t="shared" si="1"/>
        <v>100</v>
      </c>
      <c r="Q115" s="16">
        <v>44088</v>
      </c>
      <c r="R115" s="17">
        <v>9</v>
      </c>
      <c r="S115" s="13" t="s">
        <v>0</v>
      </c>
    </row>
    <row r="116" spans="1:19" x14ac:dyDescent="0.25">
      <c r="A116" s="13">
        <v>202564121</v>
      </c>
      <c r="B116" s="27" t="s">
        <v>121</v>
      </c>
      <c r="C116" s="28">
        <v>1</v>
      </c>
      <c r="D116" s="13">
        <v>681202</v>
      </c>
      <c r="E116" s="13" t="s">
        <v>2</v>
      </c>
      <c r="F116" s="13">
        <v>100</v>
      </c>
      <c r="G116" s="13">
        <v>100</v>
      </c>
      <c r="H116" s="13"/>
      <c r="I116" s="13"/>
      <c r="J116" s="13">
        <v>100</v>
      </c>
      <c r="K116" s="13">
        <v>0</v>
      </c>
      <c r="L116" s="22" t="s">
        <v>21</v>
      </c>
      <c r="M116" s="13" t="s">
        <v>320</v>
      </c>
      <c r="N116" s="13">
        <f>IFERROR(VLOOKUP($A:$A,[1]KION_IND_E_COM_LT!$A:$T,18,0),"")</f>
        <v>0</v>
      </c>
      <c r="O116" s="14"/>
      <c r="P116" s="15">
        <f t="shared" si="1"/>
        <v>0</v>
      </c>
      <c r="Q116" s="16"/>
      <c r="R116" s="17">
        <v>10</v>
      </c>
      <c r="S116" s="13" t="s">
        <v>0</v>
      </c>
    </row>
    <row r="117" spans="1:19" x14ac:dyDescent="0.25">
      <c r="A117" s="13">
        <v>202564124</v>
      </c>
      <c r="B117" s="27" t="s">
        <v>121</v>
      </c>
      <c r="C117" s="28">
        <v>1</v>
      </c>
      <c r="D117" s="13">
        <v>681202</v>
      </c>
      <c r="E117" s="13" t="s">
        <v>2</v>
      </c>
      <c r="F117" s="13">
        <v>100</v>
      </c>
      <c r="G117" s="13">
        <v>100</v>
      </c>
      <c r="H117" s="13"/>
      <c r="I117" s="13">
        <v>100</v>
      </c>
      <c r="J117" s="13"/>
      <c r="K117" s="13">
        <v>0</v>
      </c>
      <c r="L117" s="22" t="s">
        <v>21</v>
      </c>
      <c r="M117" s="13" t="s">
        <v>25</v>
      </c>
      <c r="N117" s="13">
        <f>IFERROR(VLOOKUP($A:$A,[1]KION_IND_E_COM_LT!$A:$T,18,0),"")</f>
        <v>0</v>
      </c>
      <c r="O117" s="14"/>
      <c r="P117" s="15">
        <f t="shared" si="1"/>
        <v>0</v>
      </c>
      <c r="Q117" s="16"/>
      <c r="R117" s="17">
        <v>10</v>
      </c>
      <c r="S117" s="13" t="s">
        <v>0</v>
      </c>
    </row>
    <row r="118" spans="1:19" x14ac:dyDescent="0.25">
      <c r="A118" s="13">
        <v>202564125</v>
      </c>
      <c r="B118" s="27" t="s">
        <v>121</v>
      </c>
      <c r="C118" s="28">
        <v>1</v>
      </c>
      <c r="D118" s="13">
        <v>681202</v>
      </c>
      <c r="E118" s="13" t="s">
        <v>2</v>
      </c>
      <c r="F118" s="13">
        <v>100</v>
      </c>
      <c r="G118" s="13">
        <v>100</v>
      </c>
      <c r="H118" s="13"/>
      <c r="I118" s="13">
        <v>100</v>
      </c>
      <c r="J118" s="13"/>
      <c r="K118" s="13">
        <v>0</v>
      </c>
      <c r="L118" s="22" t="s">
        <v>21</v>
      </c>
      <c r="M118" s="13" t="s">
        <v>25</v>
      </c>
      <c r="N118" s="13">
        <f>IFERROR(VLOOKUP($A:$A,[1]KION_IND_E_COM_LT!$A:$T,18,0),"")</f>
        <v>0</v>
      </c>
      <c r="O118" s="14"/>
      <c r="P118" s="15">
        <f t="shared" si="1"/>
        <v>0</v>
      </c>
      <c r="Q118" s="16"/>
      <c r="R118" s="17">
        <v>10</v>
      </c>
      <c r="S118" s="13" t="s">
        <v>0</v>
      </c>
    </row>
    <row r="119" spans="1:19" x14ac:dyDescent="0.25">
      <c r="A119" s="13">
        <v>202564126</v>
      </c>
      <c r="B119" s="27" t="s">
        <v>121</v>
      </c>
      <c r="C119" s="28">
        <v>1</v>
      </c>
      <c r="D119" s="13">
        <v>681202</v>
      </c>
      <c r="E119" s="13" t="s">
        <v>2</v>
      </c>
      <c r="F119" s="13">
        <v>100</v>
      </c>
      <c r="G119" s="13">
        <v>100</v>
      </c>
      <c r="H119" s="13"/>
      <c r="I119" s="13">
        <v>100</v>
      </c>
      <c r="J119" s="13"/>
      <c r="K119" s="13">
        <v>0</v>
      </c>
      <c r="L119" s="22" t="s">
        <v>21</v>
      </c>
      <c r="M119" s="13" t="s">
        <v>320</v>
      </c>
      <c r="N119" s="13" t="str">
        <f>IFERROR(VLOOKUP($A:$A,[1]KION_IND_E_COM_LT!$A:$T,18,0),"")</f>
        <v>10/08 - A</v>
      </c>
      <c r="O119" s="14"/>
      <c r="P119" s="15">
        <f t="shared" si="1"/>
        <v>0</v>
      </c>
      <c r="Q119" s="16"/>
      <c r="R119" s="17">
        <v>10</v>
      </c>
      <c r="S119" s="13" t="s">
        <v>0</v>
      </c>
    </row>
    <row r="120" spans="1:19" x14ac:dyDescent="0.25">
      <c r="A120" s="13">
        <v>202564127</v>
      </c>
      <c r="B120" s="27" t="s">
        <v>121</v>
      </c>
      <c r="C120" s="28">
        <v>1</v>
      </c>
      <c r="D120" s="13">
        <v>681202</v>
      </c>
      <c r="E120" s="13" t="s">
        <v>2</v>
      </c>
      <c r="F120" s="13">
        <v>100</v>
      </c>
      <c r="G120" s="13">
        <v>100</v>
      </c>
      <c r="H120" s="13"/>
      <c r="I120" s="13">
        <v>100</v>
      </c>
      <c r="J120" s="13"/>
      <c r="K120" s="13">
        <v>0</v>
      </c>
      <c r="L120" s="22" t="s">
        <v>21</v>
      </c>
      <c r="M120" s="13" t="s">
        <v>320</v>
      </c>
      <c r="N120" s="13" t="str">
        <f>IFERROR(VLOOKUP($A:$A,[1]KION_IND_E_COM_LT!$A:$T,18,0),"")</f>
        <v>10/08 - A</v>
      </c>
      <c r="O120" s="14"/>
      <c r="P120" s="15">
        <f t="shared" si="1"/>
        <v>0</v>
      </c>
      <c r="Q120" s="16"/>
      <c r="R120" s="17">
        <v>10</v>
      </c>
      <c r="S120" s="13" t="s">
        <v>0</v>
      </c>
    </row>
    <row r="121" spans="1:19" x14ac:dyDescent="0.25">
      <c r="A121" s="13">
        <v>202564128</v>
      </c>
      <c r="B121" s="27" t="s">
        <v>121</v>
      </c>
      <c r="C121" s="28">
        <v>1</v>
      </c>
      <c r="D121" s="13">
        <v>681202</v>
      </c>
      <c r="E121" s="13" t="s">
        <v>2</v>
      </c>
      <c r="F121" s="13">
        <v>100</v>
      </c>
      <c r="G121" s="13">
        <v>100</v>
      </c>
      <c r="H121" s="13"/>
      <c r="I121" s="13">
        <v>100</v>
      </c>
      <c r="J121" s="13"/>
      <c r="K121" s="13">
        <v>0</v>
      </c>
      <c r="L121" s="22" t="s">
        <v>21</v>
      </c>
      <c r="M121" s="13" t="s">
        <v>320</v>
      </c>
      <c r="N121" s="13" t="str">
        <f>IFERROR(VLOOKUP($A:$A,[1]KION_IND_E_COM_LT!$A:$T,18,0),"")</f>
        <v>10/08 - A</v>
      </c>
      <c r="O121" s="14"/>
      <c r="P121" s="15">
        <f t="shared" si="1"/>
        <v>0</v>
      </c>
      <c r="Q121" s="16"/>
      <c r="R121" s="17">
        <v>10</v>
      </c>
      <c r="S121" s="13" t="s">
        <v>0</v>
      </c>
    </row>
    <row r="122" spans="1:19" x14ac:dyDescent="0.25">
      <c r="A122" s="13">
        <v>202564129</v>
      </c>
      <c r="B122" s="27" t="s">
        <v>121</v>
      </c>
      <c r="C122" s="28">
        <v>1</v>
      </c>
      <c r="D122" s="13">
        <v>681202</v>
      </c>
      <c r="E122" s="13" t="s">
        <v>2</v>
      </c>
      <c r="F122" s="13">
        <v>100</v>
      </c>
      <c r="G122" s="13">
        <v>100</v>
      </c>
      <c r="H122" s="13"/>
      <c r="I122" s="13">
        <v>100</v>
      </c>
      <c r="J122" s="13"/>
      <c r="K122" s="13">
        <v>0</v>
      </c>
      <c r="L122" s="22" t="s">
        <v>21</v>
      </c>
      <c r="M122" s="13" t="s">
        <v>320</v>
      </c>
      <c r="N122" s="13" t="str">
        <f>IFERROR(VLOOKUP($A:$A,[1]KION_IND_E_COM_LT!$A:$T,18,0),"")</f>
        <v>10/08 - A</v>
      </c>
      <c r="O122" s="14"/>
      <c r="P122" s="15">
        <f t="shared" si="1"/>
        <v>0</v>
      </c>
      <c r="Q122" s="16"/>
      <c r="R122" s="17">
        <v>10</v>
      </c>
      <c r="S122" s="13" t="s">
        <v>0</v>
      </c>
    </row>
    <row r="123" spans="1:19" x14ac:dyDescent="0.25">
      <c r="A123" s="13">
        <v>202565149</v>
      </c>
      <c r="B123" s="27" t="s">
        <v>106</v>
      </c>
      <c r="C123" s="28">
        <v>1</v>
      </c>
      <c r="D123" s="13">
        <v>681202</v>
      </c>
      <c r="E123" s="13" t="s">
        <v>2</v>
      </c>
      <c r="F123" s="13">
        <v>100</v>
      </c>
      <c r="G123" s="13">
        <v>100</v>
      </c>
      <c r="H123" s="13"/>
      <c r="I123" s="13"/>
      <c r="J123" s="13">
        <v>100</v>
      </c>
      <c r="K123" s="13">
        <v>0</v>
      </c>
      <c r="L123" s="22" t="s">
        <v>21</v>
      </c>
      <c r="M123" s="22" t="s">
        <v>27</v>
      </c>
      <c r="N123" s="13">
        <f>IFERROR(VLOOKUP($A:$A,[1]KION_IND_E_COM_LT!$A:$T,18,0),"")</f>
        <v>0</v>
      </c>
      <c r="O123" s="14"/>
      <c r="P123" s="15">
        <f t="shared" si="1"/>
        <v>0</v>
      </c>
      <c r="Q123" s="16"/>
      <c r="R123" s="17" t="s">
        <v>3</v>
      </c>
      <c r="S123" s="13" t="s">
        <v>0</v>
      </c>
    </row>
    <row r="124" spans="1:19" x14ac:dyDescent="0.25">
      <c r="A124" s="13">
        <v>202565150</v>
      </c>
      <c r="B124" s="27" t="s">
        <v>106</v>
      </c>
      <c r="C124" s="28">
        <v>1</v>
      </c>
      <c r="D124" s="13">
        <v>681202</v>
      </c>
      <c r="E124" s="13" t="s">
        <v>2</v>
      </c>
      <c r="F124" s="13">
        <v>100</v>
      </c>
      <c r="G124" s="13">
        <v>100</v>
      </c>
      <c r="H124" s="13"/>
      <c r="I124" s="13"/>
      <c r="J124" s="13"/>
      <c r="K124" s="13">
        <v>100</v>
      </c>
      <c r="L124" s="22" t="s">
        <v>21</v>
      </c>
      <c r="M124" s="13" t="s">
        <v>320</v>
      </c>
      <c r="N124" s="22" t="s">
        <v>64</v>
      </c>
      <c r="O124" s="14">
        <v>1</v>
      </c>
      <c r="P124" s="15">
        <f t="shared" si="1"/>
        <v>100</v>
      </c>
      <c r="Q124" s="16" t="s">
        <v>3</v>
      </c>
      <c r="R124" s="17" t="s">
        <v>3</v>
      </c>
      <c r="S124" s="13" t="s">
        <v>0</v>
      </c>
    </row>
    <row r="125" spans="1:19" x14ac:dyDescent="0.25">
      <c r="A125" s="13">
        <v>202565151</v>
      </c>
      <c r="B125" s="27" t="s">
        <v>106</v>
      </c>
      <c r="C125" s="28">
        <v>1</v>
      </c>
      <c r="D125" s="13">
        <v>681202</v>
      </c>
      <c r="E125" s="13" t="s">
        <v>2</v>
      </c>
      <c r="F125" s="13">
        <v>100</v>
      </c>
      <c r="G125" s="13">
        <v>100</v>
      </c>
      <c r="H125" s="13"/>
      <c r="I125" s="13"/>
      <c r="J125" s="13"/>
      <c r="K125" s="13">
        <v>100</v>
      </c>
      <c r="L125" s="22" t="s">
        <v>21</v>
      </c>
      <c r="M125" s="13" t="s">
        <v>320</v>
      </c>
      <c r="N125" s="22" t="s">
        <v>64</v>
      </c>
      <c r="O125" s="14">
        <v>1</v>
      </c>
      <c r="P125" s="15">
        <f t="shared" si="1"/>
        <v>100</v>
      </c>
      <c r="Q125" s="16" t="s">
        <v>3</v>
      </c>
      <c r="R125" s="17" t="s">
        <v>3</v>
      </c>
      <c r="S125" s="13" t="s">
        <v>0</v>
      </c>
    </row>
    <row r="126" spans="1:19" x14ac:dyDescent="0.25">
      <c r="A126" s="13">
        <v>202569112</v>
      </c>
      <c r="B126" s="27" t="s">
        <v>109</v>
      </c>
      <c r="C126" s="28">
        <v>1</v>
      </c>
      <c r="D126" s="13">
        <v>681202</v>
      </c>
      <c r="E126" s="13" t="s">
        <v>2</v>
      </c>
      <c r="F126" s="13">
        <v>100</v>
      </c>
      <c r="G126" s="13">
        <v>100</v>
      </c>
      <c r="H126" s="13"/>
      <c r="I126" s="13">
        <v>100</v>
      </c>
      <c r="J126" s="13"/>
      <c r="K126" s="13">
        <v>0</v>
      </c>
      <c r="L126" s="22" t="s">
        <v>21</v>
      </c>
      <c r="M126" s="13" t="s">
        <v>320</v>
      </c>
      <c r="N126" s="13">
        <f>IFERROR(VLOOKUP($A:$A,[1]KION_IND_E_COM_LT!$A:$T,18,0),"")</f>
        <v>0</v>
      </c>
      <c r="O126" s="14"/>
      <c r="P126" s="15">
        <f t="shared" si="1"/>
        <v>0</v>
      </c>
      <c r="Q126" s="16"/>
      <c r="R126" s="17">
        <v>8</v>
      </c>
      <c r="S126" s="13" t="s">
        <v>0</v>
      </c>
    </row>
    <row r="127" spans="1:19" x14ac:dyDescent="0.25">
      <c r="A127" s="13">
        <v>202569113</v>
      </c>
      <c r="B127" s="27" t="s">
        <v>109</v>
      </c>
      <c r="C127" s="28">
        <v>1</v>
      </c>
      <c r="D127" s="13">
        <v>681202</v>
      </c>
      <c r="E127" s="13" t="s">
        <v>2</v>
      </c>
      <c r="F127" s="13">
        <v>100</v>
      </c>
      <c r="G127" s="13">
        <v>100</v>
      </c>
      <c r="H127" s="13"/>
      <c r="I127" s="13"/>
      <c r="J127" s="13"/>
      <c r="K127" s="13">
        <v>100</v>
      </c>
      <c r="L127" s="22" t="s">
        <v>21</v>
      </c>
      <c r="M127" s="13" t="s">
        <v>27</v>
      </c>
      <c r="N127" s="13">
        <f>IFERROR(VLOOKUP($A:$A,[1]KION_IND_E_COM_LT!$A:$T,18,0),"")</f>
        <v>0</v>
      </c>
      <c r="O127" s="14">
        <v>1</v>
      </c>
      <c r="P127" s="15">
        <f t="shared" si="1"/>
        <v>100</v>
      </c>
      <c r="Q127" s="16">
        <v>44081</v>
      </c>
      <c r="R127" s="17">
        <v>8</v>
      </c>
      <c r="S127" s="13" t="s">
        <v>0</v>
      </c>
    </row>
    <row r="128" spans="1:19" x14ac:dyDescent="0.25">
      <c r="A128" s="13">
        <v>202569114</v>
      </c>
      <c r="B128" s="27" t="s">
        <v>109</v>
      </c>
      <c r="C128" s="28">
        <v>1</v>
      </c>
      <c r="D128" s="13">
        <v>681202</v>
      </c>
      <c r="E128" s="13" t="s">
        <v>2</v>
      </c>
      <c r="F128" s="13">
        <v>100</v>
      </c>
      <c r="G128" s="13">
        <v>100</v>
      </c>
      <c r="H128" s="13"/>
      <c r="I128" s="13"/>
      <c r="J128" s="13"/>
      <c r="K128" s="13">
        <v>100</v>
      </c>
      <c r="L128" s="22" t="s">
        <v>21</v>
      </c>
      <c r="M128" s="13" t="s">
        <v>27</v>
      </c>
      <c r="N128" s="13">
        <f>IFERROR(VLOOKUP($A:$A,[1]KION_IND_E_COM_LT!$A:$T,18,0),"")</f>
        <v>0</v>
      </c>
      <c r="O128" s="14">
        <v>1</v>
      </c>
      <c r="P128" s="15">
        <f t="shared" si="1"/>
        <v>100</v>
      </c>
      <c r="Q128" s="16" t="s">
        <v>3</v>
      </c>
      <c r="R128" s="17" t="s">
        <v>3</v>
      </c>
      <c r="S128" s="13" t="s">
        <v>0</v>
      </c>
    </row>
    <row r="129" spans="1:19" x14ac:dyDescent="0.25">
      <c r="A129" s="13">
        <v>202569115</v>
      </c>
      <c r="B129" s="27" t="s">
        <v>109</v>
      </c>
      <c r="C129" s="28">
        <v>1</v>
      </c>
      <c r="D129" s="13">
        <v>681202</v>
      </c>
      <c r="E129" s="13" t="s">
        <v>2</v>
      </c>
      <c r="F129" s="13">
        <v>100</v>
      </c>
      <c r="G129" s="13">
        <v>100</v>
      </c>
      <c r="H129" s="13"/>
      <c r="I129" s="13"/>
      <c r="J129" s="13"/>
      <c r="K129" s="13">
        <v>100</v>
      </c>
      <c r="L129" s="22" t="s">
        <v>21</v>
      </c>
      <c r="M129" s="13" t="s">
        <v>27</v>
      </c>
      <c r="N129" s="13">
        <f>IFERROR(VLOOKUP($A:$A,[1]KION_IND_E_COM_LT!$A:$T,18,0),"")</f>
        <v>0</v>
      </c>
      <c r="O129" s="14">
        <v>1</v>
      </c>
      <c r="P129" s="15">
        <f t="shared" si="1"/>
        <v>100</v>
      </c>
      <c r="Q129" s="16" t="s">
        <v>3</v>
      </c>
      <c r="R129" s="17" t="s">
        <v>3</v>
      </c>
      <c r="S129" s="13" t="s">
        <v>0</v>
      </c>
    </row>
    <row r="130" spans="1:19" x14ac:dyDescent="0.25">
      <c r="A130" s="13">
        <v>202572150</v>
      </c>
      <c r="B130" s="27" t="s">
        <v>124</v>
      </c>
      <c r="C130" s="28">
        <v>3</v>
      </c>
      <c r="D130" s="13">
        <v>681202</v>
      </c>
      <c r="E130" s="13" t="s">
        <v>2</v>
      </c>
      <c r="F130" s="13">
        <v>20</v>
      </c>
      <c r="G130" s="13">
        <v>20</v>
      </c>
      <c r="H130" s="13"/>
      <c r="I130" s="13"/>
      <c r="J130" s="13">
        <v>20</v>
      </c>
      <c r="K130" s="13">
        <v>0</v>
      </c>
      <c r="L130" s="22"/>
      <c r="M130" s="13" t="s">
        <v>23</v>
      </c>
      <c r="N130" s="13">
        <f>IFERROR(VLOOKUP($A:$A,[1]KION_IND_E_COM_LT!$A:$T,18,0),"")</f>
        <v>0</v>
      </c>
      <c r="O130" s="14"/>
      <c r="P130" s="15">
        <f t="shared" si="1"/>
        <v>0</v>
      </c>
      <c r="Q130" s="16"/>
      <c r="R130" s="17" t="s">
        <v>3</v>
      </c>
      <c r="S130" s="13" t="s">
        <v>0</v>
      </c>
    </row>
    <row r="131" spans="1:19" x14ac:dyDescent="0.25">
      <c r="A131" s="13">
        <v>202574189</v>
      </c>
      <c r="B131" s="27" t="s">
        <v>88</v>
      </c>
      <c r="C131" s="28">
        <v>1</v>
      </c>
      <c r="D131" s="13">
        <v>681202</v>
      </c>
      <c r="E131" s="13" t="s">
        <v>2</v>
      </c>
      <c r="F131" s="13">
        <v>100</v>
      </c>
      <c r="G131" s="13">
        <v>100</v>
      </c>
      <c r="H131" s="13"/>
      <c r="I131" s="13"/>
      <c r="J131" s="13">
        <v>100</v>
      </c>
      <c r="K131" s="13">
        <v>0</v>
      </c>
      <c r="L131" s="22" t="s">
        <v>21</v>
      </c>
      <c r="M131" s="13" t="s">
        <v>320</v>
      </c>
      <c r="N131" s="13">
        <f>IFERROR(VLOOKUP($A:$A,[1]KION_IND_E_COM_LT!$A:$T,18,0),"")</f>
        <v>0</v>
      </c>
      <c r="O131" s="14"/>
      <c r="P131" s="15">
        <f t="shared" ref="P131:P194" si="2">K131*O131</f>
        <v>0</v>
      </c>
      <c r="Q131" s="16"/>
      <c r="R131" s="17">
        <v>6</v>
      </c>
      <c r="S131" s="13" t="s">
        <v>0</v>
      </c>
    </row>
    <row r="132" spans="1:19" x14ac:dyDescent="0.25">
      <c r="A132" s="13">
        <v>202574190</v>
      </c>
      <c r="B132" s="27" t="s">
        <v>88</v>
      </c>
      <c r="C132" s="28">
        <v>1</v>
      </c>
      <c r="D132" s="13">
        <v>681202</v>
      </c>
      <c r="E132" s="13" t="s">
        <v>2</v>
      </c>
      <c r="F132" s="13">
        <v>100</v>
      </c>
      <c r="G132" s="13">
        <v>100</v>
      </c>
      <c r="H132" s="13"/>
      <c r="I132" s="13"/>
      <c r="J132" s="13">
        <v>100</v>
      </c>
      <c r="K132" s="13">
        <v>0</v>
      </c>
      <c r="L132" s="22" t="s">
        <v>21</v>
      </c>
      <c r="M132" s="13" t="s">
        <v>320</v>
      </c>
      <c r="N132" s="13">
        <f>IFERROR(VLOOKUP($A:$A,[1]KION_IND_E_COM_LT!$A:$T,18,0),"")</f>
        <v>0</v>
      </c>
      <c r="O132" s="14"/>
      <c r="P132" s="15">
        <f t="shared" si="2"/>
        <v>0</v>
      </c>
      <c r="Q132" s="16"/>
      <c r="R132" s="17">
        <v>6</v>
      </c>
      <c r="S132" s="13" t="s">
        <v>0</v>
      </c>
    </row>
    <row r="133" spans="1:19" x14ac:dyDescent="0.25">
      <c r="A133" s="13">
        <v>202574191</v>
      </c>
      <c r="B133" s="27" t="s">
        <v>88</v>
      </c>
      <c r="C133" s="28">
        <v>1</v>
      </c>
      <c r="D133" s="13">
        <v>681202</v>
      </c>
      <c r="E133" s="13" t="s">
        <v>2</v>
      </c>
      <c r="F133" s="13">
        <v>100</v>
      </c>
      <c r="G133" s="13">
        <v>100</v>
      </c>
      <c r="H133" s="13"/>
      <c r="I133" s="13"/>
      <c r="J133" s="13">
        <v>100</v>
      </c>
      <c r="K133" s="13">
        <v>0</v>
      </c>
      <c r="L133" s="22" t="s">
        <v>21</v>
      </c>
      <c r="M133" s="13" t="s">
        <v>320</v>
      </c>
      <c r="N133" s="13">
        <f>IFERROR(VLOOKUP($A:$A,[1]KION_IND_E_COM_LT!$A:$T,18,0),"")</f>
        <v>0</v>
      </c>
      <c r="O133" s="14"/>
      <c r="P133" s="15">
        <f t="shared" si="2"/>
        <v>0</v>
      </c>
      <c r="Q133" s="16"/>
      <c r="R133" s="17">
        <v>6</v>
      </c>
      <c r="S133" s="13" t="s">
        <v>0</v>
      </c>
    </row>
    <row r="134" spans="1:19" x14ac:dyDescent="0.25">
      <c r="A134" s="13">
        <v>202574193</v>
      </c>
      <c r="B134" s="27" t="s">
        <v>88</v>
      </c>
      <c r="C134" s="28">
        <v>1</v>
      </c>
      <c r="D134" s="13">
        <v>681202</v>
      </c>
      <c r="E134" s="13" t="s">
        <v>2</v>
      </c>
      <c r="F134" s="13">
        <v>100</v>
      </c>
      <c r="G134" s="13">
        <v>100</v>
      </c>
      <c r="H134" s="13"/>
      <c r="I134" s="13"/>
      <c r="J134" s="13"/>
      <c r="K134" s="13">
        <v>100</v>
      </c>
      <c r="L134" s="22" t="s">
        <v>21</v>
      </c>
      <c r="M134" s="26" t="s">
        <v>27</v>
      </c>
      <c r="N134" s="13">
        <f>IFERROR(VLOOKUP($A:$A,[1]KION_IND_E_COM_LT!$A:$T,18,0),"")</f>
        <v>0</v>
      </c>
      <c r="O134" s="14">
        <v>1</v>
      </c>
      <c r="P134" s="15">
        <f t="shared" si="2"/>
        <v>100</v>
      </c>
      <c r="Q134" s="16">
        <v>44067</v>
      </c>
      <c r="R134" s="17">
        <v>6</v>
      </c>
      <c r="S134" s="13" t="s">
        <v>0</v>
      </c>
    </row>
    <row r="135" spans="1:19" x14ac:dyDescent="0.25">
      <c r="A135" s="13">
        <v>202574194</v>
      </c>
      <c r="B135" s="27" t="s">
        <v>88</v>
      </c>
      <c r="C135" s="28">
        <v>1</v>
      </c>
      <c r="D135" s="13">
        <v>681202</v>
      </c>
      <c r="E135" s="13" t="s">
        <v>2</v>
      </c>
      <c r="F135" s="13">
        <v>100</v>
      </c>
      <c r="G135" s="13">
        <v>100</v>
      </c>
      <c r="H135" s="13"/>
      <c r="I135" s="13"/>
      <c r="J135" s="13"/>
      <c r="K135" s="13">
        <v>100</v>
      </c>
      <c r="L135" s="22" t="s">
        <v>21</v>
      </c>
      <c r="M135" s="13" t="s">
        <v>27</v>
      </c>
      <c r="N135" s="13">
        <f>IFERROR(VLOOKUP($A:$A,[1]KION_IND_E_COM_LT!$A:$T,18,0),"")</f>
        <v>0</v>
      </c>
      <c r="O135" s="14">
        <v>1</v>
      </c>
      <c r="P135" s="15">
        <f t="shared" si="2"/>
        <v>100</v>
      </c>
      <c r="Q135" s="16">
        <v>44074</v>
      </c>
      <c r="R135" s="17">
        <v>7</v>
      </c>
      <c r="S135" s="13" t="s">
        <v>0</v>
      </c>
    </row>
    <row r="136" spans="1:19" x14ac:dyDescent="0.25">
      <c r="A136" s="13">
        <v>202574195</v>
      </c>
      <c r="B136" s="27" t="s">
        <v>88</v>
      </c>
      <c r="C136" s="28">
        <v>1</v>
      </c>
      <c r="D136" s="13">
        <v>681202</v>
      </c>
      <c r="E136" s="13" t="s">
        <v>2</v>
      </c>
      <c r="F136" s="13">
        <v>100</v>
      </c>
      <c r="G136" s="13">
        <v>100</v>
      </c>
      <c r="H136" s="13"/>
      <c r="I136" s="13"/>
      <c r="J136" s="13"/>
      <c r="K136" s="13">
        <v>100</v>
      </c>
      <c r="L136" s="22" t="s">
        <v>21</v>
      </c>
      <c r="M136" s="13" t="s">
        <v>27</v>
      </c>
      <c r="N136" s="13">
        <f>IFERROR(VLOOKUP($A:$A,[1]KION_IND_E_COM_LT!$A:$T,18,0),"")</f>
        <v>0</v>
      </c>
      <c r="O136" s="14">
        <v>1</v>
      </c>
      <c r="P136" s="15">
        <f t="shared" si="2"/>
        <v>100</v>
      </c>
      <c r="Q136" s="16">
        <v>44081</v>
      </c>
      <c r="R136" s="17">
        <v>8</v>
      </c>
      <c r="S136" s="13" t="s">
        <v>0</v>
      </c>
    </row>
    <row r="137" spans="1:19" x14ac:dyDescent="0.25">
      <c r="A137" s="13">
        <v>202574196</v>
      </c>
      <c r="B137" s="27" t="s">
        <v>88</v>
      </c>
      <c r="C137" s="28">
        <v>1</v>
      </c>
      <c r="D137" s="13">
        <v>681202</v>
      </c>
      <c r="E137" s="13" t="s">
        <v>2</v>
      </c>
      <c r="F137" s="13">
        <v>100</v>
      </c>
      <c r="G137" s="13">
        <v>100</v>
      </c>
      <c r="H137" s="13"/>
      <c r="I137" s="13"/>
      <c r="J137" s="13"/>
      <c r="K137" s="13">
        <v>100</v>
      </c>
      <c r="L137" s="22" t="s">
        <v>21</v>
      </c>
      <c r="M137" s="13" t="s">
        <v>27</v>
      </c>
      <c r="N137" s="13">
        <f>IFERROR(VLOOKUP($A:$A,[1]KION_IND_E_COM_LT!$A:$T,18,0),"")</f>
        <v>0</v>
      </c>
      <c r="O137" s="14">
        <v>1</v>
      </c>
      <c r="P137" s="15">
        <f t="shared" si="2"/>
        <v>100</v>
      </c>
      <c r="Q137" s="16">
        <v>44081</v>
      </c>
      <c r="R137" s="17">
        <v>8</v>
      </c>
      <c r="S137" s="13" t="s">
        <v>0</v>
      </c>
    </row>
    <row r="138" spans="1:19" x14ac:dyDescent="0.25">
      <c r="A138" s="13">
        <v>202574197</v>
      </c>
      <c r="B138" s="27" t="s">
        <v>88</v>
      </c>
      <c r="C138" s="28">
        <v>1</v>
      </c>
      <c r="D138" s="13">
        <v>681202</v>
      </c>
      <c r="E138" s="13" t="s">
        <v>2</v>
      </c>
      <c r="F138" s="13">
        <v>100</v>
      </c>
      <c r="G138" s="13">
        <v>100</v>
      </c>
      <c r="H138" s="13"/>
      <c r="I138" s="13"/>
      <c r="J138" s="13"/>
      <c r="K138" s="13">
        <v>100</v>
      </c>
      <c r="L138" s="22" t="s">
        <v>21</v>
      </c>
      <c r="M138" s="13" t="s">
        <v>58</v>
      </c>
      <c r="N138" s="13">
        <f>IFERROR(VLOOKUP($A:$A,[1]KION_IND_E_COM_LT!$A:$T,18,0),"")</f>
        <v>0</v>
      </c>
      <c r="O138" s="14">
        <v>1</v>
      </c>
      <c r="P138" s="15">
        <f t="shared" si="2"/>
        <v>100</v>
      </c>
      <c r="Q138" s="16">
        <v>44081</v>
      </c>
      <c r="R138" s="17">
        <v>8</v>
      </c>
      <c r="S138" s="13" t="s">
        <v>0</v>
      </c>
    </row>
    <row r="139" spans="1:19" x14ac:dyDescent="0.25">
      <c r="A139" s="13">
        <v>202574198</v>
      </c>
      <c r="B139" s="27" t="s">
        <v>88</v>
      </c>
      <c r="C139" s="28">
        <v>1</v>
      </c>
      <c r="D139" s="13">
        <v>681202</v>
      </c>
      <c r="E139" s="13" t="s">
        <v>2</v>
      </c>
      <c r="F139" s="13">
        <v>100</v>
      </c>
      <c r="G139" s="13">
        <v>100</v>
      </c>
      <c r="H139" s="13"/>
      <c r="I139" s="13"/>
      <c r="J139" s="13"/>
      <c r="K139" s="13">
        <v>100</v>
      </c>
      <c r="L139" s="22" t="s">
        <v>21</v>
      </c>
      <c r="M139" s="13" t="s">
        <v>27</v>
      </c>
      <c r="N139" s="13">
        <f>IFERROR(VLOOKUP($A:$A,[1]KION_IND_E_COM_LT!$A:$T,18,0),"")</f>
        <v>0</v>
      </c>
      <c r="O139" s="14">
        <v>1</v>
      </c>
      <c r="P139" s="15">
        <f t="shared" si="2"/>
        <v>100</v>
      </c>
      <c r="Q139" s="16">
        <v>44081</v>
      </c>
      <c r="R139" s="17">
        <v>8</v>
      </c>
      <c r="S139" s="13" t="s">
        <v>0</v>
      </c>
    </row>
    <row r="140" spans="1:19" x14ac:dyDescent="0.25">
      <c r="A140" s="13">
        <v>202574199</v>
      </c>
      <c r="B140" s="27" t="s">
        <v>88</v>
      </c>
      <c r="C140" s="28">
        <v>1</v>
      </c>
      <c r="D140" s="13">
        <v>681202</v>
      </c>
      <c r="E140" s="13" t="s">
        <v>2</v>
      </c>
      <c r="F140" s="13">
        <v>100</v>
      </c>
      <c r="G140" s="13">
        <v>100</v>
      </c>
      <c r="H140" s="13"/>
      <c r="I140" s="13"/>
      <c r="J140" s="13"/>
      <c r="K140" s="13">
        <v>100</v>
      </c>
      <c r="L140" s="22" t="s">
        <v>21</v>
      </c>
      <c r="M140" s="13" t="s">
        <v>27</v>
      </c>
      <c r="N140" s="13">
        <f>IFERROR(VLOOKUP($A:$A,[1]KION_IND_E_COM_LT!$A:$T,18,0),"")</f>
        <v>0</v>
      </c>
      <c r="O140" s="14">
        <v>1</v>
      </c>
      <c r="P140" s="15">
        <f t="shared" si="2"/>
        <v>100</v>
      </c>
      <c r="Q140" s="16">
        <v>44095</v>
      </c>
      <c r="R140" s="17">
        <v>10</v>
      </c>
      <c r="S140" s="13" t="s">
        <v>0</v>
      </c>
    </row>
    <row r="141" spans="1:19" x14ac:dyDescent="0.25">
      <c r="A141" s="13">
        <v>202578234</v>
      </c>
      <c r="B141" s="27" t="s">
        <v>125</v>
      </c>
      <c r="C141" s="28">
        <v>3</v>
      </c>
      <c r="D141" s="13">
        <v>681202</v>
      </c>
      <c r="E141" s="13" t="s">
        <v>2</v>
      </c>
      <c r="F141" s="13">
        <v>100</v>
      </c>
      <c r="G141" s="13">
        <v>100</v>
      </c>
      <c r="H141" s="13"/>
      <c r="I141" s="13">
        <v>100</v>
      </c>
      <c r="J141" s="13"/>
      <c r="K141" s="13">
        <v>0</v>
      </c>
      <c r="L141" s="22" t="s">
        <v>21</v>
      </c>
      <c r="M141" s="13" t="s">
        <v>320</v>
      </c>
      <c r="N141" s="13">
        <f>IFERROR(VLOOKUP($A:$A,[1]KION_IND_E_COM_LT!$A:$T,18,0),"")</f>
        <v>0</v>
      </c>
      <c r="O141" s="14"/>
      <c r="P141" s="15">
        <f t="shared" si="2"/>
        <v>0</v>
      </c>
      <c r="Q141" s="16"/>
      <c r="R141" s="17" t="s">
        <v>3</v>
      </c>
      <c r="S141" s="13" t="s">
        <v>0</v>
      </c>
    </row>
    <row r="142" spans="1:19" x14ac:dyDescent="0.25">
      <c r="A142" s="13">
        <v>202578235</v>
      </c>
      <c r="B142" s="27" t="s">
        <v>125</v>
      </c>
      <c r="C142" s="28">
        <v>3</v>
      </c>
      <c r="D142" s="13">
        <v>681202</v>
      </c>
      <c r="E142" s="13" t="s">
        <v>2</v>
      </c>
      <c r="F142" s="13">
        <v>100</v>
      </c>
      <c r="G142" s="13">
        <v>100</v>
      </c>
      <c r="H142" s="13"/>
      <c r="I142" s="13">
        <v>100</v>
      </c>
      <c r="J142" s="13"/>
      <c r="K142" s="13">
        <v>0</v>
      </c>
      <c r="L142" s="22" t="s">
        <v>21</v>
      </c>
      <c r="M142" s="13" t="s">
        <v>320</v>
      </c>
      <c r="N142" s="13">
        <f>IFERROR(VLOOKUP($A:$A,[1]KION_IND_E_COM_LT!$A:$T,18,0),"")</f>
        <v>0</v>
      </c>
      <c r="O142" s="14"/>
      <c r="P142" s="15">
        <f t="shared" si="2"/>
        <v>0</v>
      </c>
      <c r="Q142" s="16"/>
      <c r="R142" s="17" t="s">
        <v>3</v>
      </c>
      <c r="S142" s="13" t="s">
        <v>0</v>
      </c>
    </row>
    <row r="143" spans="1:19" x14ac:dyDescent="0.25">
      <c r="A143" s="13">
        <v>202578236</v>
      </c>
      <c r="B143" s="27" t="s">
        <v>125</v>
      </c>
      <c r="C143" s="28">
        <v>3</v>
      </c>
      <c r="D143" s="13">
        <v>681202</v>
      </c>
      <c r="E143" s="13" t="s">
        <v>2</v>
      </c>
      <c r="F143" s="13">
        <v>100</v>
      </c>
      <c r="G143" s="13">
        <v>100</v>
      </c>
      <c r="H143" s="13"/>
      <c r="I143" s="13"/>
      <c r="J143" s="13"/>
      <c r="K143" s="13">
        <v>100</v>
      </c>
      <c r="L143" s="22" t="s">
        <v>21</v>
      </c>
      <c r="M143" s="13" t="s">
        <v>61</v>
      </c>
      <c r="N143" s="13">
        <f>IFERROR(VLOOKUP($A:$A,[1]KION_IND_E_COM_LT!$A:$T,18,0),"")</f>
        <v>0</v>
      </c>
      <c r="O143" s="14">
        <v>1</v>
      </c>
      <c r="P143" s="15">
        <f t="shared" si="2"/>
        <v>100</v>
      </c>
      <c r="Q143" s="16" t="s">
        <v>3</v>
      </c>
      <c r="R143" s="17" t="s">
        <v>3</v>
      </c>
      <c r="S143" s="13" t="s">
        <v>0</v>
      </c>
    </row>
    <row r="144" spans="1:19" x14ac:dyDescent="0.25">
      <c r="A144" s="13">
        <v>202578237</v>
      </c>
      <c r="B144" s="27" t="s">
        <v>125</v>
      </c>
      <c r="C144" s="28">
        <v>3</v>
      </c>
      <c r="D144" s="13">
        <v>681202</v>
      </c>
      <c r="E144" s="13" t="s">
        <v>2</v>
      </c>
      <c r="F144" s="13">
        <v>100</v>
      </c>
      <c r="G144" s="13">
        <v>100</v>
      </c>
      <c r="H144" s="13"/>
      <c r="I144" s="13"/>
      <c r="J144" s="13"/>
      <c r="K144" s="13">
        <v>100</v>
      </c>
      <c r="L144" s="22" t="s">
        <v>21</v>
      </c>
      <c r="M144" s="13" t="s">
        <v>61</v>
      </c>
      <c r="N144" s="13">
        <f>IFERROR(VLOOKUP($A:$A,[1]KION_IND_E_COM_LT!$A:$T,18,0),"")</f>
        <v>0</v>
      </c>
      <c r="O144" s="14">
        <v>1</v>
      </c>
      <c r="P144" s="15">
        <f t="shared" si="2"/>
        <v>100</v>
      </c>
      <c r="Q144" s="16" t="s">
        <v>3</v>
      </c>
      <c r="R144" s="17" t="s">
        <v>3</v>
      </c>
      <c r="S144" s="13" t="s">
        <v>0</v>
      </c>
    </row>
    <row r="145" spans="1:19" x14ac:dyDescent="0.25">
      <c r="A145" s="13">
        <v>202578238</v>
      </c>
      <c r="B145" s="27" t="s">
        <v>125</v>
      </c>
      <c r="C145" s="28">
        <v>3</v>
      </c>
      <c r="D145" s="13">
        <v>681202</v>
      </c>
      <c r="E145" s="13" t="s">
        <v>2</v>
      </c>
      <c r="F145" s="13">
        <v>100</v>
      </c>
      <c r="G145" s="13">
        <v>100</v>
      </c>
      <c r="H145" s="13"/>
      <c r="I145" s="13"/>
      <c r="J145" s="13"/>
      <c r="K145" s="13">
        <v>100</v>
      </c>
      <c r="L145" s="22" t="s">
        <v>21</v>
      </c>
      <c r="M145" s="13" t="s">
        <v>61</v>
      </c>
      <c r="N145" s="13">
        <f>IFERROR(VLOOKUP($A:$A,[1]KION_IND_E_COM_LT!$A:$T,18,0),"")</f>
        <v>0</v>
      </c>
      <c r="O145" s="14">
        <v>1</v>
      </c>
      <c r="P145" s="15">
        <f t="shared" si="2"/>
        <v>100</v>
      </c>
      <c r="Q145" s="16" t="s">
        <v>3</v>
      </c>
      <c r="R145" s="17" t="s">
        <v>3</v>
      </c>
      <c r="S145" s="13" t="s">
        <v>0</v>
      </c>
    </row>
    <row r="146" spans="1:19" x14ac:dyDescent="0.25">
      <c r="A146" s="13">
        <v>202580137</v>
      </c>
      <c r="B146" s="27" t="s">
        <v>83</v>
      </c>
      <c r="C146" s="28">
        <v>0</v>
      </c>
      <c r="D146" s="13">
        <v>681202</v>
      </c>
      <c r="E146" s="13" t="s">
        <v>2</v>
      </c>
      <c r="F146" s="13">
        <v>100</v>
      </c>
      <c r="G146" s="13">
        <v>100</v>
      </c>
      <c r="H146" s="13"/>
      <c r="I146" s="13"/>
      <c r="J146" s="13">
        <v>100</v>
      </c>
      <c r="K146" s="13">
        <v>0</v>
      </c>
      <c r="L146" s="22" t="s">
        <v>21</v>
      </c>
      <c r="M146" s="22" t="s">
        <v>27</v>
      </c>
      <c r="N146" s="13">
        <f>IFERROR(VLOOKUP($A:$A,[1]KION_IND_E_COM_LT!$A:$T,18,0),"")</f>
        <v>0</v>
      </c>
      <c r="O146" s="14"/>
      <c r="P146" s="15">
        <f t="shared" si="2"/>
        <v>0</v>
      </c>
      <c r="Q146" s="16"/>
      <c r="R146" s="17">
        <v>4</v>
      </c>
      <c r="S146" s="13" t="s">
        <v>0</v>
      </c>
    </row>
    <row r="147" spans="1:19" x14ac:dyDescent="0.25">
      <c r="A147" s="13">
        <v>202580138</v>
      </c>
      <c r="B147" s="27" t="s">
        <v>83</v>
      </c>
      <c r="C147" s="28">
        <v>0</v>
      </c>
      <c r="D147" s="13">
        <v>681202</v>
      </c>
      <c r="E147" s="13" t="s">
        <v>2</v>
      </c>
      <c r="F147" s="13">
        <v>125</v>
      </c>
      <c r="G147" s="13">
        <v>5</v>
      </c>
      <c r="H147" s="13"/>
      <c r="I147" s="13">
        <v>5</v>
      </c>
      <c r="J147" s="13"/>
      <c r="K147" s="13">
        <v>0</v>
      </c>
      <c r="L147" s="22" t="s">
        <v>21</v>
      </c>
      <c r="M147" s="13" t="s">
        <v>27</v>
      </c>
      <c r="N147" s="13">
        <f>IFERROR(VLOOKUP($A:$A,[1]KION_IND_E_COM_LT!$A:$T,18,0),"")</f>
        <v>0</v>
      </c>
      <c r="O147" s="14"/>
      <c r="P147" s="15">
        <f t="shared" si="2"/>
        <v>0</v>
      </c>
      <c r="Q147" s="16"/>
      <c r="R147" s="17">
        <v>4</v>
      </c>
      <c r="S147" s="13" t="s">
        <v>0</v>
      </c>
    </row>
    <row r="148" spans="1:19" x14ac:dyDescent="0.25">
      <c r="A148" s="13">
        <v>202580140</v>
      </c>
      <c r="B148" s="27" t="s">
        <v>83</v>
      </c>
      <c r="C148" s="28">
        <v>0</v>
      </c>
      <c r="D148" s="13">
        <v>681202</v>
      </c>
      <c r="E148" s="13" t="s">
        <v>2</v>
      </c>
      <c r="F148" s="13">
        <v>100</v>
      </c>
      <c r="G148" s="13">
        <v>100</v>
      </c>
      <c r="H148" s="13"/>
      <c r="I148" s="13"/>
      <c r="J148" s="13"/>
      <c r="K148" s="13">
        <v>100</v>
      </c>
      <c r="L148" s="22" t="s">
        <v>21</v>
      </c>
      <c r="M148" s="13" t="s">
        <v>26</v>
      </c>
      <c r="N148" s="13">
        <f>IFERROR(VLOOKUP($A:$A,[1]KION_IND_E_COM_LT!$A:$T,18,0),"")</f>
        <v>0</v>
      </c>
      <c r="O148" s="14">
        <v>1</v>
      </c>
      <c r="P148" s="15">
        <f t="shared" si="2"/>
        <v>100</v>
      </c>
      <c r="Q148" s="16">
        <v>44053</v>
      </c>
      <c r="R148" s="17">
        <v>4</v>
      </c>
      <c r="S148" s="13" t="s">
        <v>0</v>
      </c>
    </row>
    <row r="149" spans="1:19" x14ac:dyDescent="0.25">
      <c r="A149" s="13">
        <v>202580141</v>
      </c>
      <c r="B149" s="27" t="s">
        <v>83</v>
      </c>
      <c r="C149" s="28">
        <v>0</v>
      </c>
      <c r="D149" s="13">
        <v>681202</v>
      </c>
      <c r="E149" s="13" t="s">
        <v>2</v>
      </c>
      <c r="F149" s="13">
        <v>100</v>
      </c>
      <c r="G149" s="13">
        <v>100</v>
      </c>
      <c r="H149" s="13"/>
      <c r="I149" s="13"/>
      <c r="J149" s="13"/>
      <c r="K149" s="13">
        <v>100</v>
      </c>
      <c r="L149" s="22" t="s">
        <v>21</v>
      </c>
      <c r="M149" s="13" t="s">
        <v>26</v>
      </c>
      <c r="N149" s="13">
        <f>IFERROR(VLOOKUP($A:$A,[1]KION_IND_E_COM_LT!$A:$T,18,0),"")</f>
        <v>0</v>
      </c>
      <c r="O149" s="14">
        <v>1</v>
      </c>
      <c r="P149" s="15">
        <f t="shared" si="2"/>
        <v>100</v>
      </c>
      <c r="Q149" s="16">
        <v>44053</v>
      </c>
      <c r="R149" s="17">
        <v>4</v>
      </c>
      <c r="S149" s="13" t="s">
        <v>0</v>
      </c>
    </row>
    <row r="150" spans="1:19" x14ac:dyDescent="0.25">
      <c r="A150" s="13">
        <v>202580142</v>
      </c>
      <c r="B150" s="27" t="s">
        <v>83</v>
      </c>
      <c r="C150" s="28">
        <v>0</v>
      </c>
      <c r="D150" s="13">
        <v>681202</v>
      </c>
      <c r="E150" s="13" t="s">
        <v>2</v>
      </c>
      <c r="F150" s="13">
        <v>100</v>
      </c>
      <c r="G150" s="13">
        <v>100</v>
      </c>
      <c r="H150" s="13"/>
      <c r="I150" s="13"/>
      <c r="J150" s="13"/>
      <c r="K150" s="13">
        <v>100</v>
      </c>
      <c r="L150" s="22" t="s">
        <v>21</v>
      </c>
      <c r="M150" s="13" t="s">
        <v>61</v>
      </c>
      <c r="N150" s="13">
        <f>IFERROR(VLOOKUP($A:$A,[1]KION_IND_E_COM_LT!$A:$T,18,0),"")</f>
        <v>0</v>
      </c>
      <c r="O150" s="14">
        <v>1</v>
      </c>
      <c r="P150" s="15">
        <f t="shared" si="2"/>
        <v>100</v>
      </c>
      <c r="Q150" s="16">
        <v>44067</v>
      </c>
      <c r="R150" s="17">
        <v>6</v>
      </c>
      <c r="S150" s="13" t="s">
        <v>0</v>
      </c>
    </row>
    <row r="151" spans="1:19" x14ac:dyDescent="0.25">
      <c r="A151" s="13">
        <v>202580143</v>
      </c>
      <c r="B151" s="27" t="s">
        <v>83</v>
      </c>
      <c r="C151" s="28">
        <v>0</v>
      </c>
      <c r="D151" s="13">
        <v>681202</v>
      </c>
      <c r="E151" s="13" t="s">
        <v>2</v>
      </c>
      <c r="F151" s="13">
        <v>100</v>
      </c>
      <c r="G151" s="13">
        <v>100</v>
      </c>
      <c r="H151" s="13"/>
      <c r="I151" s="13"/>
      <c r="J151" s="13"/>
      <c r="K151" s="13">
        <v>100</v>
      </c>
      <c r="L151" s="22" t="s">
        <v>21</v>
      </c>
      <c r="M151" s="13" t="s">
        <v>61</v>
      </c>
      <c r="N151" s="13">
        <f>IFERROR(VLOOKUP($A:$A,[1]KION_IND_E_COM_LT!$A:$T,18,0),"")</f>
        <v>0</v>
      </c>
      <c r="O151" s="14">
        <v>1</v>
      </c>
      <c r="P151" s="15">
        <f t="shared" si="2"/>
        <v>100</v>
      </c>
      <c r="Q151" s="16">
        <v>44067</v>
      </c>
      <c r="R151" s="17">
        <v>6</v>
      </c>
      <c r="S151" s="13" t="s">
        <v>0</v>
      </c>
    </row>
    <row r="152" spans="1:19" x14ac:dyDescent="0.25">
      <c r="A152" s="13">
        <v>202580144</v>
      </c>
      <c r="B152" s="27" t="s">
        <v>83</v>
      </c>
      <c r="C152" s="28">
        <v>0</v>
      </c>
      <c r="D152" s="13">
        <v>681202</v>
      </c>
      <c r="E152" s="13" t="s">
        <v>2</v>
      </c>
      <c r="F152" s="13">
        <v>100</v>
      </c>
      <c r="G152" s="13">
        <v>100</v>
      </c>
      <c r="H152" s="13"/>
      <c r="I152" s="13"/>
      <c r="J152" s="13"/>
      <c r="K152" s="13">
        <v>100</v>
      </c>
      <c r="L152" s="22" t="s">
        <v>21</v>
      </c>
      <c r="M152" s="13" t="s">
        <v>61</v>
      </c>
      <c r="N152" s="13">
        <f>IFERROR(VLOOKUP($A:$A,[1]KION_IND_E_COM_LT!$A:$T,18,0),"")</f>
        <v>0</v>
      </c>
      <c r="O152" s="14">
        <v>1</v>
      </c>
      <c r="P152" s="15">
        <f t="shared" si="2"/>
        <v>100</v>
      </c>
      <c r="Q152" s="16">
        <v>44074</v>
      </c>
      <c r="R152" s="17">
        <v>7</v>
      </c>
      <c r="S152" s="13" t="s">
        <v>0</v>
      </c>
    </row>
    <row r="153" spans="1:19" x14ac:dyDescent="0.25">
      <c r="A153" s="13">
        <v>202580145</v>
      </c>
      <c r="B153" s="27" t="s">
        <v>83</v>
      </c>
      <c r="C153" s="28">
        <v>0</v>
      </c>
      <c r="D153" s="13">
        <v>681202</v>
      </c>
      <c r="E153" s="13" t="s">
        <v>2</v>
      </c>
      <c r="F153" s="13">
        <v>100</v>
      </c>
      <c r="G153" s="13">
        <v>100</v>
      </c>
      <c r="H153" s="13"/>
      <c r="I153" s="13"/>
      <c r="J153" s="13"/>
      <c r="K153" s="13">
        <v>100</v>
      </c>
      <c r="L153" s="22" t="s">
        <v>21</v>
      </c>
      <c r="M153" s="13" t="s">
        <v>61</v>
      </c>
      <c r="N153" s="13">
        <f>IFERROR(VLOOKUP($A:$A,[1]KION_IND_E_COM_LT!$A:$T,18,0),"")</f>
        <v>0</v>
      </c>
      <c r="O153" s="14">
        <v>1</v>
      </c>
      <c r="P153" s="15">
        <f t="shared" si="2"/>
        <v>100</v>
      </c>
      <c r="Q153" s="16">
        <v>44074</v>
      </c>
      <c r="R153" s="17">
        <v>7</v>
      </c>
      <c r="S153" s="13" t="s">
        <v>0</v>
      </c>
    </row>
    <row r="154" spans="1:19" x14ac:dyDescent="0.25">
      <c r="A154" s="13">
        <v>202580146</v>
      </c>
      <c r="B154" s="27" t="s">
        <v>83</v>
      </c>
      <c r="C154" s="28">
        <v>0</v>
      </c>
      <c r="D154" s="13">
        <v>681202</v>
      </c>
      <c r="E154" s="13" t="s">
        <v>2</v>
      </c>
      <c r="F154" s="13">
        <v>100</v>
      </c>
      <c r="G154" s="13">
        <v>100</v>
      </c>
      <c r="H154" s="13"/>
      <c r="I154" s="13"/>
      <c r="J154" s="13"/>
      <c r="K154" s="13">
        <v>100</v>
      </c>
      <c r="L154" s="22" t="s">
        <v>21</v>
      </c>
      <c r="M154" s="13" t="s">
        <v>61</v>
      </c>
      <c r="N154" s="13">
        <f>IFERROR(VLOOKUP($A:$A,[1]KION_IND_E_COM_LT!$A:$T,18,0),"")</f>
        <v>0</v>
      </c>
      <c r="O154" s="14">
        <v>1</v>
      </c>
      <c r="P154" s="15">
        <f t="shared" si="2"/>
        <v>100</v>
      </c>
      <c r="Q154" s="16">
        <v>44081</v>
      </c>
      <c r="R154" s="17">
        <v>8</v>
      </c>
      <c r="S154" s="13" t="s">
        <v>0</v>
      </c>
    </row>
    <row r="155" spans="1:19" x14ac:dyDescent="0.25">
      <c r="A155" s="13">
        <v>202580147</v>
      </c>
      <c r="B155" s="27" t="s">
        <v>83</v>
      </c>
      <c r="C155" s="28">
        <v>0</v>
      </c>
      <c r="D155" s="13">
        <v>681202</v>
      </c>
      <c r="E155" s="13" t="s">
        <v>2</v>
      </c>
      <c r="F155" s="13">
        <v>100</v>
      </c>
      <c r="G155" s="13">
        <v>100</v>
      </c>
      <c r="H155" s="13"/>
      <c r="I155" s="13"/>
      <c r="J155" s="13"/>
      <c r="K155" s="13">
        <v>100</v>
      </c>
      <c r="L155" s="22" t="s">
        <v>21</v>
      </c>
      <c r="M155" s="13" t="s">
        <v>61</v>
      </c>
      <c r="N155" s="13">
        <f>IFERROR(VLOOKUP($A:$A,[1]KION_IND_E_COM_LT!$A:$T,18,0),"")</f>
        <v>0</v>
      </c>
      <c r="O155" s="14">
        <v>1</v>
      </c>
      <c r="P155" s="15">
        <f t="shared" si="2"/>
        <v>100</v>
      </c>
      <c r="Q155" s="16">
        <v>44081</v>
      </c>
      <c r="R155" s="17">
        <v>8</v>
      </c>
      <c r="S155" s="13" t="s">
        <v>0</v>
      </c>
    </row>
    <row r="156" spans="1:19" x14ac:dyDescent="0.25">
      <c r="A156" s="13">
        <v>202580148</v>
      </c>
      <c r="B156" s="27" t="s">
        <v>83</v>
      </c>
      <c r="C156" s="28">
        <v>0</v>
      </c>
      <c r="D156" s="13">
        <v>681202</v>
      </c>
      <c r="E156" s="13" t="s">
        <v>2</v>
      </c>
      <c r="F156" s="13">
        <v>100</v>
      </c>
      <c r="G156" s="13">
        <v>100</v>
      </c>
      <c r="H156" s="13"/>
      <c r="I156" s="13"/>
      <c r="J156" s="13"/>
      <c r="K156" s="13">
        <v>100</v>
      </c>
      <c r="L156" s="22" t="s">
        <v>21</v>
      </c>
      <c r="M156" s="13" t="s">
        <v>61</v>
      </c>
      <c r="N156" s="13">
        <f>IFERROR(VLOOKUP($A:$A,[1]KION_IND_E_COM_LT!$A:$T,18,0),"")</f>
        <v>0</v>
      </c>
      <c r="O156" s="14">
        <v>1</v>
      </c>
      <c r="P156" s="15">
        <f t="shared" si="2"/>
        <v>100</v>
      </c>
      <c r="Q156" s="16">
        <v>44088</v>
      </c>
      <c r="R156" s="17">
        <v>9</v>
      </c>
      <c r="S156" s="13" t="s">
        <v>0</v>
      </c>
    </row>
    <row r="157" spans="1:19" x14ac:dyDescent="0.25">
      <c r="A157" s="13">
        <v>202580149</v>
      </c>
      <c r="B157" s="27" t="s">
        <v>83</v>
      </c>
      <c r="C157" s="28">
        <v>0</v>
      </c>
      <c r="D157" s="13">
        <v>681202</v>
      </c>
      <c r="E157" s="13" t="s">
        <v>2</v>
      </c>
      <c r="F157" s="13">
        <v>100</v>
      </c>
      <c r="G157" s="13">
        <v>100</v>
      </c>
      <c r="H157" s="13"/>
      <c r="I157" s="13"/>
      <c r="J157" s="13"/>
      <c r="K157" s="13">
        <v>100</v>
      </c>
      <c r="L157" s="22"/>
      <c r="M157" s="13" t="s">
        <v>23</v>
      </c>
      <c r="N157" s="13" t="str">
        <f>IFERROR(VLOOKUP($A:$A,[1]KION_IND_E_COM_LT!$A:$T,18,0),"")</f>
        <v/>
      </c>
      <c r="O157" s="14">
        <v>1</v>
      </c>
      <c r="P157" s="15">
        <f t="shared" si="2"/>
        <v>100</v>
      </c>
      <c r="Q157" s="16">
        <v>44088</v>
      </c>
      <c r="R157" s="17">
        <v>9</v>
      </c>
      <c r="S157" s="13" t="s">
        <v>0</v>
      </c>
    </row>
    <row r="158" spans="1:19" x14ac:dyDescent="0.25">
      <c r="A158" s="13">
        <v>202588148</v>
      </c>
      <c r="B158" s="27" t="s">
        <v>99</v>
      </c>
      <c r="C158" s="28">
        <v>2</v>
      </c>
      <c r="D158" s="13">
        <v>681202</v>
      </c>
      <c r="E158" s="13" t="s">
        <v>2</v>
      </c>
      <c r="F158" s="13">
        <v>100</v>
      </c>
      <c r="G158" s="13">
        <v>100</v>
      </c>
      <c r="H158" s="13"/>
      <c r="I158" s="13"/>
      <c r="J158" s="13">
        <v>100</v>
      </c>
      <c r="K158" s="13">
        <v>0</v>
      </c>
      <c r="L158" s="22" t="s">
        <v>21</v>
      </c>
      <c r="M158" s="13" t="s">
        <v>320</v>
      </c>
      <c r="N158" s="13">
        <f>IFERROR(VLOOKUP($A:$A,[1]KION_IND_E_COM_LT!$A:$T,18,0),"")</f>
        <v>0</v>
      </c>
      <c r="O158" s="14"/>
      <c r="P158" s="15">
        <f t="shared" si="2"/>
        <v>0</v>
      </c>
      <c r="Q158" s="16"/>
      <c r="R158" s="17">
        <v>7</v>
      </c>
      <c r="S158" s="13" t="s">
        <v>0</v>
      </c>
    </row>
    <row r="159" spans="1:19" x14ac:dyDescent="0.25">
      <c r="A159" s="13">
        <v>202588150</v>
      </c>
      <c r="B159" s="27" t="s">
        <v>99</v>
      </c>
      <c r="C159" s="28">
        <v>2</v>
      </c>
      <c r="D159" s="13">
        <v>681202</v>
      </c>
      <c r="E159" s="13" t="s">
        <v>2</v>
      </c>
      <c r="F159" s="13">
        <v>100</v>
      </c>
      <c r="G159" s="13">
        <v>100</v>
      </c>
      <c r="H159" s="13"/>
      <c r="I159" s="13">
        <v>100</v>
      </c>
      <c r="J159" s="13"/>
      <c r="K159" s="13">
        <v>0</v>
      </c>
      <c r="L159" s="22" t="s">
        <v>21</v>
      </c>
      <c r="M159" s="13" t="s">
        <v>24</v>
      </c>
      <c r="N159" s="13">
        <f>IFERROR(VLOOKUP($A:$A,[1]KION_IND_E_COM_LT!$A:$T,18,0),"")</f>
        <v>0</v>
      </c>
      <c r="O159" s="14"/>
      <c r="P159" s="15">
        <f t="shared" si="2"/>
        <v>0</v>
      </c>
      <c r="Q159" s="16"/>
      <c r="R159" s="17">
        <v>7</v>
      </c>
      <c r="S159" s="13" t="s">
        <v>0</v>
      </c>
    </row>
    <row r="160" spans="1:19" x14ac:dyDescent="0.25">
      <c r="A160" s="13">
        <v>202588151</v>
      </c>
      <c r="B160" s="27" t="s">
        <v>99</v>
      </c>
      <c r="C160" s="28">
        <v>2</v>
      </c>
      <c r="D160" s="13">
        <v>681202</v>
      </c>
      <c r="E160" s="13" t="s">
        <v>2</v>
      </c>
      <c r="F160" s="13">
        <v>100</v>
      </c>
      <c r="G160" s="13">
        <v>100</v>
      </c>
      <c r="H160" s="13"/>
      <c r="I160" s="13">
        <v>100</v>
      </c>
      <c r="J160" s="13"/>
      <c r="K160" s="13">
        <v>0</v>
      </c>
      <c r="L160" s="22" t="s">
        <v>21</v>
      </c>
      <c r="M160" s="13" t="s">
        <v>320</v>
      </c>
      <c r="N160" s="13" t="str">
        <f>IFERROR(VLOOKUP($A:$A,[1]KION_IND_E_COM_LT!$A:$T,18,0),"")</f>
        <v>10/08 - A</v>
      </c>
      <c r="O160" s="14"/>
      <c r="P160" s="15">
        <f t="shared" si="2"/>
        <v>0</v>
      </c>
      <c r="Q160" s="16"/>
      <c r="R160" s="17">
        <v>7</v>
      </c>
      <c r="S160" s="13" t="s">
        <v>0</v>
      </c>
    </row>
    <row r="161" spans="1:19" x14ac:dyDescent="0.25">
      <c r="A161" s="13">
        <v>202588152</v>
      </c>
      <c r="B161" s="27" t="s">
        <v>99</v>
      </c>
      <c r="C161" s="28">
        <v>2</v>
      </c>
      <c r="D161" s="13">
        <v>681202</v>
      </c>
      <c r="E161" s="13" t="s">
        <v>2</v>
      </c>
      <c r="F161" s="13">
        <v>100</v>
      </c>
      <c r="G161" s="13">
        <v>100</v>
      </c>
      <c r="H161" s="13"/>
      <c r="I161" s="13">
        <v>100</v>
      </c>
      <c r="J161" s="13"/>
      <c r="K161" s="13">
        <v>0</v>
      </c>
      <c r="L161" s="22" t="s">
        <v>21</v>
      </c>
      <c r="M161" s="13" t="s">
        <v>320</v>
      </c>
      <c r="N161" s="13" t="str">
        <f>IFERROR(VLOOKUP($A:$A,[1]KION_IND_E_COM_LT!$A:$T,18,0),"")</f>
        <v>10/08 - A</v>
      </c>
      <c r="O161" s="14"/>
      <c r="P161" s="15">
        <f t="shared" si="2"/>
        <v>0</v>
      </c>
      <c r="Q161" s="16"/>
      <c r="R161" s="17">
        <v>7</v>
      </c>
      <c r="S161" s="13" t="s">
        <v>0</v>
      </c>
    </row>
    <row r="162" spans="1:19" x14ac:dyDescent="0.25">
      <c r="A162" s="13">
        <v>202588153</v>
      </c>
      <c r="B162" s="27" t="s">
        <v>99</v>
      </c>
      <c r="C162" s="28">
        <v>2</v>
      </c>
      <c r="D162" s="13">
        <v>681202</v>
      </c>
      <c r="E162" s="13" t="s">
        <v>2</v>
      </c>
      <c r="F162" s="13">
        <v>100</v>
      </c>
      <c r="G162" s="13">
        <v>100</v>
      </c>
      <c r="H162" s="13"/>
      <c r="I162" s="13"/>
      <c r="J162" s="13"/>
      <c r="K162" s="13">
        <v>100</v>
      </c>
      <c r="L162" s="22" t="s">
        <v>21</v>
      </c>
      <c r="M162" s="13" t="s">
        <v>27</v>
      </c>
      <c r="N162" s="13">
        <f>IFERROR(VLOOKUP($A:$A,[1]KION_IND_E_COM_LT!$A:$T,18,0),"")</f>
        <v>0</v>
      </c>
      <c r="O162" s="14">
        <v>1</v>
      </c>
      <c r="P162" s="15">
        <f t="shared" si="2"/>
        <v>100</v>
      </c>
      <c r="Q162" s="16">
        <v>44074</v>
      </c>
      <c r="R162" s="17">
        <v>7</v>
      </c>
      <c r="S162" s="13" t="s">
        <v>0</v>
      </c>
    </row>
    <row r="163" spans="1:19" x14ac:dyDescent="0.25">
      <c r="A163" s="13">
        <v>202588154</v>
      </c>
      <c r="B163" s="27" t="s">
        <v>99</v>
      </c>
      <c r="C163" s="28">
        <v>2</v>
      </c>
      <c r="D163" s="13">
        <v>681202</v>
      </c>
      <c r="E163" s="13" t="s">
        <v>2</v>
      </c>
      <c r="F163" s="13">
        <v>100</v>
      </c>
      <c r="G163" s="13">
        <v>100</v>
      </c>
      <c r="H163" s="13"/>
      <c r="I163" s="13"/>
      <c r="J163" s="13"/>
      <c r="K163" s="13">
        <v>100</v>
      </c>
      <c r="L163" s="22" t="s">
        <v>21</v>
      </c>
      <c r="M163" s="13" t="s">
        <v>27</v>
      </c>
      <c r="N163" s="13">
        <f>IFERROR(VLOOKUP($A:$A,[1]KION_IND_E_COM_LT!$A:$T,18,0),"")</f>
        <v>0</v>
      </c>
      <c r="O163" s="14">
        <v>1</v>
      </c>
      <c r="P163" s="15">
        <f t="shared" si="2"/>
        <v>100</v>
      </c>
      <c r="Q163" s="16">
        <v>44074</v>
      </c>
      <c r="R163" s="17">
        <v>7</v>
      </c>
      <c r="S163" s="13" t="s">
        <v>0</v>
      </c>
    </row>
    <row r="164" spans="1:19" x14ac:dyDescent="0.25">
      <c r="A164" s="13">
        <v>202588155</v>
      </c>
      <c r="B164" s="27" t="s">
        <v>99</v>
      </c>
      <c r="C164" s="28">
        <v>2</v>
      </c>
      <c r="D164" s="13">
        <v>681202</v>
      </c>
      <c r="E164" s="13" t="s">
        <v>2</v>
      </c>
      <c r="F164" s="13">
        <v>100</v>
      </c>
      <c r="G164" s="13">
        <v>100</v>
      </c>
      <c r="H164" s="13"/>
      <c r="I164" s="13"/>
      <c r="J164" s="13"/>
      <c r="K164" s="13">
        <v>100</v>
      </c>
      <c r="L164" s="22" t="s">
        <v>21</v>
      </c>
      <c r="M164" s="13" t="s">
        <v>27</v>
      </c>
      <c r="N164" s="13">
        <f>IFERROR(VLOOKUP($A:$A,[1]KION_IND_E_COM_LT!$A:$T,18,0),"")</f>
        <v>0</v>
      </c>
      <c r="O164" s="14">
        <v>1</v>
      </c>
      <c r="P164" s="15">
        <f t="shared" si="2"/>
        <v>100</v>
      </c>
      <c r="Q164" s="16">
        <v>44074</v>
      </c>
      <c r="R164" s="17">
        <v>7</v>
      </c>
      <c r="S164" s="13" t="s">
        <v>0</v>
      </c>
    </row>
    <row r="165" spans="1:19" x14ac:dyDescent="0.25">
      <c r="A165" s="13">
        <v>202588156</v>
      </c>
      <c r="B165" s="27" t="s">
        <v>99</v>
      </c>
      <c r="C165" s="28">
        <v>2</v>
      </c>
      <c r="D165" s="13">
        <v>681202</v>
      </c>
      <c r="E165" s="13" t="s">
        <v>2</v>
      </c>
      <c r="F165" s="13">
        <v>100</v>
      </c>
      <c r="G165" s="13">
        <v>100</v>
      </c>
      <c r="H165" s="13"/>
      <c r="I165" s="13"/>
      <c r="J165" s="13"/>
      <c r="K165" s="13">
        <v>100</v>
      </c>
      <c r="L165" s="22" t="s">
        <v>21</v>
      </c>
      <c r="M165" s="13" t="s">
        <v>27</v>
      </c>
      <c r="N165" s="13">
        <f>IFERROR(VLOOKUP($A:$A,[1]KION_IND_E_COM_LT!$A:$T,18,0),"")</f>
        <v>0</v>
      </c>
      <c r="O165" s="14">
        <v>1</v>
      </c>
      <c r="P165" s="15">
        <f t="shared" si="2"/>
        <v>100</v>
      </c>
      <c r="Q165" s="16">
        <v>44081</v>
      </c>
      <c r="R165" s="17">
        <v>8</v>
      </c>
      <c r="S165" s="13" t="s">
        <v>0</v>
      </c>
    </row>
    <row r="166" spans="1:19" x14ac:dyDescent="0.25">
      <c r="A166" s="13">
        <v>202588157</v>
      </c>
      <c r="B166" s="27" t="s">
        <v>99</v>
      </c>
      <c r="C166" s="28">
        <v>2</v>
      </c>
      <c r="D166" s="13">
        <v>681202</v>
      </c>
      <c r="E166" s="13" t="s">
        <v>2</v>
      </c>
      <c r="F166" s="13">
        <v>100</v>
      </c>
      <c r="G166" s="13">
        <v>100</v>
      </c>
      <c r="H166" s="13"/>
      <c r="I166" s="13"/>
      <c r="J166" s="13"/>
      <c r="K166" s="13">
        <v>100</v>
      </c>
      <c r="L166" s="22"/>
      <c r="M166" s="13" t="s">
        <v>23</v>
      </c>
      <c r="N166" s="13" t="str">
        <f>IFERROR(VLOOKUP($A:$A,[1]KION_IND_E_COM_LT!$A:$T,18,0),"")</f>
        <v/>
      </c>
      <c r="O166" s="14">
        <v>1</v>
      </c>
      <c r="P166" s="15">
        <f t="shared" si="2"/>
        <v>100</v>
      </c>
      <c r="Q166" s="16">
        <v>44088</v>
      </c>
      <c r="R166" s="17">
        <v>9</v>
      </c>
      <c r="S166" s="13" t="s">
        <v>0</v>
      </c>
    </row>
    <row r="167" spans="1:19" x14ac:dyDescent="0.25">
      <c r="A167" s="13">
        <v>202588158</v>
      </c>
      <c r="B167" s="27" t="s">
        <v>99</v>
      </c>
      <c r="C167" s="28">
        <v>2</v>
      </c>
      <c r="D167" s="13">
        <v>681202</v>
      </c>
      <c r="E167" s="13" t="s">
        <v>2</v>
      </c>
      <c r="F167" s="13">
        <v>100</v>
      </c>
      <c r="G167" s="13">
        <v>100</v>
      </c>
      <c r="H167" s="13"/>
      <c r="I167" s="13"/>
      <c r="J167" s="13"/>
      <c r="K167" s="13">
        <v>100</v>
      </c>
      <c r="L167" s="22"/>
      <c r="M167" s="13" t="s">
        <v>23</v>
      </c>
      <c r="N167" s="13" t="str">
        <f>IFERROR(VLOOKUP($A:$A,[1]KION_IND_E_COM_LT!$A:$T,18,0),"")</f>
        <v/>
      </c>
      <c r="O167" s="14">
        <v>1</v>
      </c>
      <c r="P167" s="15">
        <f t="shared" si="2"/>
        <v>100</v>
      </c>
      <c r="Q167" s="16">
        <v>44088</v>
      </c>
      <c r="R167" s="17">
        <v>9</v>
      </c>
      <c r="S167" s="13" t="s">
        <v>0</v>
      </c>
    </row>
    <row r="168" spans="1:19" x14ac:dyDescent="0.25">
      <c r="A168" s="13">
        <v>202588159</v>
      </c>
      <c r="B168" s="27" t="s">
        <v>99</v>
      </c>
      <c r="C168" s="28">
        <v>2</v>
      </c>
      <c r="D168" s="13">
        <v>681202</v>
      </c>
      <c r="E168" s="13" t="s">
        <v>2</v>
      </c>
      <c r="F168" s="13">
        <v>100</v>
      </c>
      <c r="G168" s="13">
        <v>100</v>
      </c>
      <c r="H168" s="13"/>
      <c r="I168" s="13"/>
      <c r="J168" s="13"/>
      <c r="K168" s="13">
        <v>100</v>
      </c>
      <c r="L168" s="22"/>
      <c r="M168" s="13" t="s">
        <v>23</v>
      </c>
      <c r="N168" s="13" t="str">
        <f>IFERROR(VLOOKUP($A:$A,[1]KION_IND_E_COM_LT!$A:$T,18,0),"")</f>
        <v/>
      </c>
      <c r="O168" s="14">
        <v>1</v>
      </c>
      <c r="P168" s="15">
        <f t="shared" si="2"/>
        <v>100</v>
      </c>
      <c r="Q168" s="16">
        <v>44095</v>
      </c>
      <c r="R168" s="17">
        <v>10</v>
      </c>
      <c r="S168" s="13" t="s">
        <v>0</v>
      </c>
    </row>
    <row r="169" spans="1:19" x14ac:dyDescent="0.25">
      <c r="A169" s="13">
        <v>202594110</v>
      </c>
      <c r="B169" s="27" t="s">
        <v>84</v>
      </c>
      <c r="C169" s="28">
        <v>2</v>
      </c>
      <c r="D169" s="13">
        <v>681202</v>
      </c>
      <c r="E169" s="13" t="s">
        <v>2</v>
      </c>
      <c r="F169" s="13">
        <v>100</v>
      </c>
      <c r="G169" s="13">
        <v>100</v>
      </c>
      <c r="H169" s="13"/>
      <c r="I169" s="13"/>
      <c r="J169" s="13">
        <v>100</v>
      </c>
      <c r="K169" s="13">
        <v>0</v>
      </c>
      <c r="L169" s="22" t="s">
        <v>21</v>
      </c>
      <c r="M169" s="13" t="s">
        <v>320</v>
      </c>
      <c r="N169" s="13">
        <f>IFERROR(VLOOKUP($A:$A,[1]KION_IND_E_COM_LT!$A:$T,18,0),"")</f>
        <v>0</v>
      </c>
      <c r="O169" s="14"/>
      <c r="P169" s="15">
        <f t="shared" si="2"/>
        <v>0</v>
      </c>
      <c r="Q169" s="16"/>
      <c r="R169" s="17">
        <v>4</v>
      </c>
      <c r="S169" s="13" t="s">
        <v>0</v>
      </c>
    </row>
    <row r="170" spans="1:19" x14ac:dyDescent="0.25">
      <c r="A170" s="13">
        <v>202594114</v>
      </c>
      <c r="B170" s="27" t="s">
        <v>84</v>
      </c>
      <c r="C170" s="28">
        <v>2</v>
      </c>
      <c r="D170" s="13">
        <v>681202</v>
      </c>
      <c r="E170" s="13" t="s">
        <v>2</v>
      </c>
      <c r="F170" s="13">
        <v>100</v>
      </c>
      <c r="G170" s="13">
        <v>100</v>
      </c>
      <c r="H170" s="13"/>
      <c r="I170" s="13"/>
      <c r="J170" s="13"/>
      <c r="K170" s="13">
        <v>100</v>
      </c>
      <c r="L170" s="22" t="s">
        <v>21</v>
      </c>
      <c r="M170" s="13" t="s">
        <v>320</v>
      </c>
      <c r="N170" s="13">
        <f>IFERROR(VLOOKUP($A:$A,[1]KION_IND_E_COM_LT!$A:$T,18,0),"")</f>
        <v>0</v>
      </c>
      <c r="O170" s="14">
        <v>1</v>
      </c>
      <c r="P170" s="15">
        <f t="shared" si="2"/>
        <v>100</v>
      </c>
      <c r="Q170" s="16">
        <v>44053</v>
      </c>
      <c r="R170" s="17">
        <v>4</v>
      </c>
      <c r="S170" s="13" t="s">
        <v>0</v>
      </c>
    </row>
    <row r="171" spans="1:19" x14ac:dyDescent="0.25">
      <c r="A171" s="13">
        <v>202594115</v>
      </c>
      <c r="B171" s="27" t="s">
        <v>84</v>
      </c>
      <c r="C171" s="28">
        <v>2</v>
      </c>
      <c r="D171" s="13">
        <v>681202</v>
      </c>
      <c r="E171" s="13" t="s">
        <v>2</v>
      </c>
      <c r="F171" s="13">
        <v>100</v>
      </c>
      <c r="G171" s="13">
        <v>100</v>
      </c>
      <c r="H171" s="13"/>
      <c r="I171" s="13"/>
      <c r="J171" s="13"/>
      <c r="K171" s="13">
        <v>100</v>
      </c>
      <c r="L171" s="22" t="s">
        <v>21</v>
      </c>
      <c r="M171" s="13" t="s">
        <v>320</v>
      </c>
      <c r="N171" s="13">
        <f>IFERROR(VLOOKUP($A:$A,[1]KION_IND_E_COM_LT!$A:$T,18,0),"")</f>
        <v>0</v>
      </c>
      <c r="O171" s="14">
        <v>1</v>
      </c>
      <c r="P171" s="15">
        <f t="shared" si="2"/>
        <v>100</v>
      </c>
      <c r="Q171" s="16">
        <v>44067</v>
      </c>
      <c r="R171" s="17">
        <v>6</v>
      </c>
      <c r="S171" s="13" t="s">
        <v>0</v>
      </c>
    </row>
    <row r="172" spans="1:19" x14ac:dyDescent="0.25">
      <c r="A172" s="13">
        <v>202594116</v>
      </c>
      <c r="B172" s="27" t="s">
        <v>84</v>
      </c>
      <c r="C172" s="28">
        <v>2</v>
      </c>
      <c r="D172" s="13">
        <v>681202</v>
      </c>
      <c r="E172" s="13" t="s">
        <v>2</v>
      </c>
      <c r="F172" s="13">
        <v>100</v>
      </c>
      <c r="G172" s="13">
        <v>100</v>
      </c>
      <c r="H172" s="13"/>
      <c r="I172" s="13"/>
      <c r="J172" s="13"/>
      <c r="K172" s="13">
        <v>100</v>
      </c>
      <c r="L172" s="22" t="s">
        <v>21</v>
      </c>
      <c r="M172" s="13" t="s">
        <v>320</v>
      </c>
      <c r="N172" s="13">
        <f>IFERROR(VLOOKUP($A:$A,[1]KION_IND_E_COM_LT!$A:$T,18,0),"")</f>
        <v>0</v>
      </c>
      <c r="O172" s="14">
        <v>1</v>
      </c>
      <c r="P172" s="15">
        <f t="shared" si="2"/>
        <v>100</v>
      </c>
      <c r="Q172" s="16">
        <v>44074</v>
      </c>
      <c r="R172" s="17">
        <v>7</v>
      </c>
      <c r="S172" s="13" t="s">
        <v>0</v>
      </c>
    </row>
    <row r="173" spans="1:19" x14ac:dyDescent="0.25">
      <c r="A173" s="13">
        <v>202594117</v>
      </c>
      <c r="B173" s="27" t="s">
        <v>84</v>
      </c>
      <c r="C173" s="28">
        <v>2</v>
      </c>
      <c r="D173" s="13">
        <v>681202</v>
      </c>
      <c r="E173" s="13" t="s">
        <v>2</v>
      </c>
      <c r="F173" s="13">
        <v>100</v>
      </c>
      <c r="G173" s="13">
        <v>100</v>
      </c>
      <c r="H173" s="13"/>
      <c r="I173" s="13"/>
      <c r="J173" s="13"/>
      <c r="K173" s="13">
        <v>100</v>
      </c>
      <c r="L173" s="22" t="s">
        <v>21</v>
      </c>
      <c r="M173" s="13" t="s">
        <v>320</v>
      </c>
      <c r="N173" s="13">
        <f>IFERROR(VLOOKUP($A:$A,[1]KION_IND_E_COM_LT!$A:$T,18,0),"")</f>
        <v>0</v>
      </c>
      <c r="O173" s="14">
        <v>1</v>
      </c>
      <c r="P173" s="15">
        <f t="shared" si="2"/>
        <v>100</v>
      </c>
      <c r="Q173" s="16">
        <v>44081</v>
      </c>
      <c r="R173" s="17">
        <v>8</v>
      </c>
      <c r="S173" s="13" t="s">
        <v>0</v>
      </c>
    </row>
    <row r="174" spans="1:19" x14ac:dyDescent="0.25">
      <c r="A174" s="13">
        <v>202594118</v>
      </c>
      <c r="B174" s="27" t="s">
        <v>84</v>
      </c>
      <c r="C174" s="28">
        <v>2</v>
      </c>
      <c r="D174" s="13">
        <v>681202</v>
      </c>
      <c r="E174" s="13" t="s">
        <v>2</v>
      </c>
      <c r="F174" s="13">
        <v>100</v>
      </c>
      <c r="G174" s="13">
        <v>100</v>
      </c>
      <c r="H174" s="13"/>
      <c r="I174" s="13"/>
      <c r="J174" s="13"/>
      <c r="K174" s="13">
        <v>100</v>
      </c>
      <c r="L174" s="22" t="s">
        <v>21</v>
      </c>
      <c r="M174" s="13" t="s">
        <v>320</v>
      </c>
      <c r="N174" s="13">
        <f>IFERROR(VLOOKUP($A:$A,[1]KION_IND_E_COM_LT!$A:$T,18,0),"")</f>
        <v>0</v>
      </c>
      <c r="O174" s="14">
        <v>1</v>
      </c>
      <c r="P174" s="15">
        <f t="shared" si="2"/>
        <v>100</v>
      </c>
      <c r="Q174" s="16">
        <v>44081</v>
      </c>
      <c r="R174" s="17">
        <v>8</v>
      </c>
      <c r="S174" s="13" t="s">
        <v>0</v>
      </c>
    </row>
    <row r="175" spans="1:19" x14ac:dyDescent="0.25">
      <c r="A175" s="13">
        <v>202602175</v>
      </c>
      <c r="B175" s="27" t="s">
        <v>283</v>
      </c>
      <c r="C175" s="28">
        <v>2</v>
      </c>
      <c r="D175" s="13">
        <v>681202</v>
      </c>
      <c r="E175" s="13" t="s">
        <v>2</v>
      </c>
      <c r="F175" s="13">
        <v>105</v>
      </c>
      <c r="G175" s="13">
        <v>105</v>
      </c>
      <c r="H175" s="13"/>
      <c r="I175" s="13"/>
      <c r="J175" s="13"/>
      <c r="K175" s="13">
        <v>105</v>
      </c>
      <c r="L175" s="22" t="s">
        <v>21</v>
      </c>
      <c r="M175" s="13" t="s">
        <v>320</v>
      </c>
      <c r="N175" s="22" t="s">
        <v>64</v>
      </c>
      <c r="O175" s="14">
        <v>1</v>
      </c>
      <c r="P175" s="15">
        <f t="shared" si="2"/>
        <v>105</v>
      </c>
      <c r="Q175" s="16">
        <v>44081</v>
      </c>
      <c r="R175" s="17">
        <v>8</v>
      </c>
      <c r="S175" s="13" t="s">
        <v>0</v>
      </c>
    </row>
    <row r="176" spans="1:19" x14ac:dyDescent="0.25">
      <c r="A176" s="13">
        <v>202602176</v>
      </c>
      <c r="B176" s="27" t="s">
        <v>283</v>
      </c>
      <c r="C176" s="28">
        <v>2</v>
      </c>
      <c r="D176" s="13">
        <v>681202</v>
      </c>
      <c r="E176" s="13" t="s">
        <v>2</v>
      </c>
      <c r="F176" s="13">
        <v>100</v>
      </c>
      <c r="G176" s="13">
        <v>100</v>
      </c>
      <c r="H176" s="13"/>
      <c r="I176" s="13"/>
      <c r="J176" s="13"/>
      <c r="K176" s="13">
        <v>100</v>
      </c>
      <c r="L176" s="22" t="s">
        <v>21</v>
      </c>
      <c r="M176" s="13" t="s">
        <v>320</v>
      </c>
      <c r="N176" s="22" t="s">
        <v>64</v>
      </c>
      <c r="O176" s="14">
        <v>1</v>
      </c>
      <c r="P176" s="15">
        <f t="shared" si="2"/>
        <v>100</v>
      </c>
      <c r="Q176" s="16" t="s">
        <v>3</v>
      </c>
      <c r="R176" s="17" t="s">
        <v>3</v>
      </c>
      <c r="S176" s="13" t="s">
        <v>0</v>
      </c>
    </row>
    <row r="177" spans="1:19" x14ac:dyDescent="0.25">
      <c r="A177" s="13">
        <v>202602177</v>
      </c>
      <c r="B177" s="27" t="s">
        <v>283</v>
      </c>
      <c r="C177" s="28">
        <v>2</v>
      </c>
      <c r="D177" s="13">
        <v>681202</v>
      </c>
      <c r="E177" s="13" t="s">
        <v>2</v>
      </c>
      <c r="F177" s="13">
        <v>100</v>
      </c>
      <c r="G177" s="13">
        <v>100</v>
      </c>
      <c r="H177" s="13"/>
      <c r="I177" s="13"/>
      <c r="J177" s="13"/>
      <c r="K177" s="13">
        <v>100</v>
      </c>
      <c r="L177" s="22" t="s">
        <v>21</v>
      </c>
      <c r="M177" s="13" t="s">
        <v>320</v>
      </c>
      <c r="N177" s="22" t="s">
        <v>64</v>
      </c>
      <c r="O177" s="14">
        <v>1</v>
      </c>
      <c r="P177" s="15">
        <f t="shared" si="2"/>
        <v>100</v>
      </c>
      <c r="Q177" s="16" t="s">
        <v>3</v>
      </c>
      <c r="R177" s="17" t="s">
        <v>3</v>
      </c>
      <c r="S177" s="13" t="s">
        <v>0</v>
      </c>
    </row>
    <row r="178" spans="1:19" x14ac:dyDescent="0.25">
      <c r="A178" s="13">
        <v>202602178</v>
      </c>
      <c r="B178" s="27" t="s">
        <v>283</v>
      </c>
      <c r="C178" s="28">
        <v>2</v>
      </c>
      <c r="D178" s="13">
        <v>681202</v>
      </c>
      <c r="E178" s="13" t="s">
        <v>2</v>
      </c>
      <c r="F178" s="13">
        <v>100</v>
      </c>
      <c r="G178" s="13">
        <v>100</v>
      </c>
      <c r="H178" s="13"/>
      <c r="I178" s="13"/>
      <c r="J178" s="13"/>
      <c r="K178" s="13">
        <v>100</v>
      </c>
      <c r="L178" s="22" t="s">
        <v>21</v>
      </c>
      <c r="M178" s="13" t="s">
        <v>320</v>
      </c>
      <c r="N178" s="22" t="s">
        <v>64</v>
      </c>
      <c r="O178" s="14">
        <v>1</v>
      </c>
      <c r="P178" s="15">
        <f t="shared" si="2"/>
        <v>100</v>
      </c>
      <c r="Q178" s="16" t="s">
        <v>3</v>
      </c>
      <c r="R178" s="17" t="s">
        <v>3</v>
      </c>
      <c r="S178" s="13" t="s">
        <v>0</v>
      </c>
    </row>
    <row r="179" spans="1:19" x14ac:dyDescent="0.25">
      <c r="A179" s="13">
        <v>202607306</v>
      </c>
      <c r="B179" s="27" t="s">
        <v>90</v>
      </c>
      <c r="C179" s="28">
        <v>3</v>
      </c>
      <c r="D179" s="13">
        <v>681202</v>
      </c>
      <c r="E179" s="13" t="s">
        <v>2</v>
      </c>
      <c r="F179" s="13">
        <v>100</v>
      </c>
      <c r="G179" s="13">
        <v>100</v>
      </c>
      <c r="H179" s="13"/>
      <c r="I179" s="13"/>
      <c r="J179" s="13">
        <v>100</v>
      </c>
      <c r="K179" s="13">
        <v>0</v>
      </c>
      <c r="L179" s="22" t="s">
        <v>21</v>
      </c>
      <c r="M179" s="13" t="s">
        <v>320</v>
      </c>
      <c r="N179" s="13">
        <f>IFERROR(VLOOKUP($A:$A,[1]KION_IND_E_COM_LT!$A:$T,18,0),"")</f>
        <v>0</v>
      </c>
      <c r="O179" s="14"/>
      <c r="P179" s="15">
        <f t="shared" si="2"/>
        <v>0</v>
      </c>
      <c r="Q179" s="16"/>
      <c r="R179" s="17">
        <v>6</v>
      </c>
      <c r="S179" s="13" t="s">
        <v>0</v>
      </c>
    </row>
    <row r="180" spans="1:19" x14ac:dyDescent="0.25">
      <c r="A180" s="13">
        <v>202607310</v>
      </c>
      <c r="B180" s="27" t="s">
        <v>90</v>
      </c>
      <c r="C180" s="28">
        <v>3</v>
      </c>
      <c r="D180" s="13">
        <v>681202</v>
      </c>
      <c r="E180" s="13" t="s">
        <v>2</v>
      </c>
      <c r="F180" s="13">
        <v>100</v>
      </c>
      <c r="G180" s="13">
        <v>100</v>
      </c>
      <c r="H180" s="13"/>
      <c r="I180" s="13"/>
      <c r="J180" s="13">
        <v>100</v>
      </c>
      <c r="K180" s="13">
        <v>0</v>
      </c>
      <c r="L180" s="22" t="s">
        <v>21</v>
      </c>
      <c r="M180" s="13" t="s">
        <v>320</v>
      </c>
      <c r="N180" s="13">
        <f>IFERROR(VLOOKUP($A:$A,[1]KION_IND_E_COM_LT!$A:$T,18,0),"")</f>
        <v>0</v>
      </c>
      <c r="O180" s="14"/>
      <c r="P180" s="15">
        <f t="shared" si="2"/>
        <v>0</v>
      </c>
      <c r="Q180" s="16"/>
      <c r="R180" s="17">
        <v>6</v>
      </c>
      <c r="S180" s="13" t="s">
        <v>0</v>
      </c>
    </row>
    <row r="181" spans="1:19" x14ac:dyDescent="0.25">
      <c r="A181" s="13">
        <v>202607311</v>
      </c>
      <c r="B181" s="27" t="s">
        <v>90</v>
      </c>
      <c r="C181" s="28">
        <v>3</v>
      </c>
      <c r="D181" s="13">
        <v>681202</v>
      </c>
      <c r="E181" s="13" t="s">
        <v>2</v>
      </c>
      <c r="F181" s="13">
        <v>100</v>
      </c>
      <c r="G181" s="13">
        <v>100</v>
      </c>
      <c r="H181" s="13"/>
      <c r="I181" s="13"/>
      <c r="J181" s="13">
        <v>100</v>
      </c>
      <c r="K181" s="13">
        <v>0</v>
      </c>
      <c r="L181" s="22" t="s">
        <v>21</v>
      </c>
      <c r="M181" s="13" t="s">
        <v>320</v>
      </c>
      <c r="N181" s="13">
        <f>IFERROR(VLOOKUP($A:$A,[1]KION_IND_E_COM_LT!$A:$T,18,0),"")</f>
        <v>0</v>
      </c>
      <c r="O181" s="14"/>
      <c r="P181" s="15">
        <f t="shared" si="2"/>
        <v>0</v>
      </c>
      <c r="Q181" s="16"/>
      <c r="R181" s="17">
        <v>6</v>
      </c>
      <c r="S181" s="13" t="s">
        <v>0</v>
      </c>
    </row>
    <row r="182" spans="1:19" x14ac:dyDescent="0.25">
      <c r="A182" s="13">
        <v>202607312</v>
      </c>
      <c r="B182" s="27" t="s">
        <v>90</v>
      </c>
      <c r="C182" s="28">
        <v>3</v>
      </c>
      <c r="D182" s="13">
        <v>681202</v>
      </c>
      <c r="E182" s="13" t="s">
        <v>2</v>
      </c>
      <c r="F182" s="13">
        <v>100</v>
      </c>
      <c r="G182" s="13">
        <v>100</v>
      </c>
      <c r="H182" s="13"/>
      <c r="I182" s="13"/>
      <c r="J182" s="13">
        <v>100</v>
      </c>
      <c r="K182" s="13">
        <v>0</v>
      </c>
      <c r="L182" s="22" t="s">
        <v>21</v>
      </c>
      <c r="M182" s="13" t="s">
        <v>320</v>
      </c>
      <c r="N182" s="13">
        <f>IFERROR(VLOOKUP($A:$A,[1]KION_IND_E_COM_LT!$A:$T,18,0),"")</f>
        <v>0</v>
      </c>
      <c r="O182" s="14"/>
      <c r="P182" s="15">
        <f t="shared" si="2"/>
        <v>0</v>
      </c>
      <c r="Q182" s="16"/>
      <c r="R182" s="17">
        <v>6</v>
      </c>
      <c r="S182" s="13" t="s">
        <v>0</v>
      </c>
    </row>
    <row r="183" spans="1:19" x14ac:dyDescent="0.25">
      <c r="A183" s="13">
        <v>202607313</v>
      </c>
      <c r="B183" s="27" t="s">
        <v>90</v>
      </c>
      <c r="C183" s="28">
        <v>3</v>
      </c>
      <c r="D183" s="13">
        <v>681202</v>
      </c>
      <c r="E183" s="13" t="s">
        <v>2</v>
      </c>
      <c r="F183" s="13">
        <v>100</v>
      </c>
      <c r="G183" s="13">
        <v>100</v>
      </c>
      <c r="H183" s="13"/>
      <c r="I183" s="13"/>
      <c r="J183" s="13">
        <v>100</v>
      </c>
      <c r="K183" s="13">
        <v>0</v>
      </c>
      <c r="L183" s="22" t="s">
        <v>21</v>
      </c>
      <c r="M183" s="13" t="s">
        <v>320</v>
      </c>
      <c r="N183" s="13">
        <f>IFERROR(VLOOKUP($A:$A,[1]KION_IND_E_COM_LT!$A:$T,18,0),"")</f>
        <v>0</v>
      </c>
      <c r="O183" s="14"/>
      <c r="P183" s="15">
        <f t="shared" si="2"/>
        <v>0</v>
      </c>
      <c r="Q183" s="16"/>
      <c r="R183" s="17">
        <v>6</v>
      </c>
      <c r="S183" s="13" t="s">
        <v>0</v>
      </c>
    </row>
    <row r="184" spans="1:19" x14ac:dyDescent="0.25">
      <c r="A184" s="13">
        <v>202607314</v>
      </c>
      <c r="B184" s="27" t="s">
        <v>90</v>
      </c>
      <c r="C184" s="28">
        <v>3</v>
      </c>
      <c r="D184" s="13">
        <v>681202</v>
      </c>
      <c r="E184" s="13" t="s">
        <v>2</v>
      </c>
      <c r="F184" s="13">
        <v>100</v>
      </c>
      <c r="G184" s="13">
        <v>100</v>
      </c>
      <c r="H184" s="13"/>
      <c r="I184" s="13"/>
      <c r="J184" s="13"/>
      <c r="K184" s="13">
        <v>100</v>
      </c>
      <c r="L184" s="22" t="s">
        <v>21</v>
      </c>
      <c r="M184" s="13" t="s">
        <v>320</v>
      </c>
      <c r="N184" s="13">
        <f>IFERROR(VLOOKUP($A:$A,[1]KION_IND_E_COM_LT!$A:$T,18,0),"")</f>
        <v>0</v>
      </c>
      <c r="O184" s="14">
        <v>1</v>
      </c>
      <c r="P184" s="15">
        <f t="shared" si="2"/>
        <v>100</v>
      </c>
      <c r="Q184" s="16">
        <v>44067</v>
      </c>
      <c r="R184" s="17">
        <v>6</v>
      </c>
      <c r="S184" s="13" t="s">
        <v>0</v>
      </c>
    </row>
    <row r="185" spans="1:19" x14ac:dyDescent="0.25">
      <c r="A185" s="13">
        <v>202607315</v>
      </c>
      <c r="B185" s="27" t="s">
        <v>90</v>
      </c>
      <c r="C185" s="28">
        <v>3</v>
      </c>
      <c r="D185" s="13">
        <v>681202</v>
      </c>
      <c r="E185" s="13" t="s">
        <v>2</v>
      </c>
      <c r="F185" s="13">
        <v>100</v>
      </c>
      <c r="G185" s="13">
        <v>100</v>
      </c>
      <c r="H185" s="13"/>
      <c r="I185" s="13"/>
      <c r="J185" s="13"/>
      <c r="K185" s="13">
        <v>100</v>
      </c>
      <c r="L185" s="22" t="s">
        <v>21</v>
      </c>
      <c r="M185" s="13" t="s">
        <v>320</v>
      </c>
      <c r="N185" s="13">
        <f>IFERROR(VLOOKUP($A:$A,[1]KION_IND_E_COM_LT!$A:$T,18,0),"")</f>
        <v>0</v>
      </c>
      <c r="O185" s="14">
        <v>1</v>
      </c>
      <c r="P185" s="15">
        <f t="shared" si="2"/>
        <v>100</v>
      </c>
      <c r="Q185" s="16">
        <v>44074</v>
      </c>
      <c r="R185" s="17">
        <v>7</v>
      </c>
      <c r="S185" s="13" t="s">
        <v>0</v>
      </c>
    </row>
    <row r="186" spans="1:19" x14ac:dyDescent="0.25">
      <c r="A186" s="13">
        <v>202607316</v>
      </c>
      <c r="B186" s="27" t="s">
        <v>90</v>
      </c>
      <c r="C186" s="28">
        <v>3</v>
      </c>
      <c r="D186" s="13">
        <v>681202</v>
      </c>
      <c r="E186" s="13" t="s">
        <v>2</v>
      </c>
      <c r="F186" s="13">
        <v>100</v>
      </c>
      <c r="G186" s="13">
        <v>100</v>
      </c>
      <c r="H186" s="13"/>
      <c r="I186" s="13"/>
      <c r="J186" s="13"/>
      <c r="K186" s="13">
        <v>100</v>
      </c>
      <c r="L186" s="22" t="s">
        <v>21</v>
      </c>
      <c r="M186" s="13" t="s">
        <v>320</v>
      </c>
      <c r="N186" s="13">
        <f>IFERROR(VLOOKUP($A:$A,[1]KION_IND_E_COM_LT!$A:$T,18,0),"")</f>
        <v>0</v>
      </c>
      <c r="O186" s="14">
        <v>1</v>
      </c>
      <c r="P186" s="15">
        <f t="shared" si="2"/>
        <v>100</v>
      </c>
      <c r="Q186" s="16">
        <v>44074</v>
      </c>
      <c r="R186" s="17">
        <v>7</v>
      </c>
      <c r="S186" s="13" t="s">
        <v>0</v>
      </c>
    </row>
    <row r="187" spans="1:19" x14ac:dyDescent="0.25">
      <c r="A187" s="13">
        <v>202607317</v>
      </c>
      <c r="B187" s="27" t="s">
        <v>90</v>
      </c>
      <c r="C187" s="28">
        <v>3</v>
      </c>
      <c r="D187" s="13">
        <v>681202</v>
      </c>
      <c r="E187" s="13" t="s">
        <v>2</v>
      </c>
      <c r="F187" s="13">
        <v>100</v>
      </c>
      <c r="G187" s="13">
        <v>100</v>
      </c>
      <c r="H187" s="13"/>
      <c r="I187" s="13"/>
      <c r="J187" s="13"/>
      <c r="K187" s="13">
        <v>100</v>
      </c>
      <c r="L187" s="22" t="s">
        <v>21</v>
      </c>
      <c r="M187" s="13" t="s">
        <v>320</v>
      </c>
      <c r="N187" s="13">
        <f>IFERROR(VLOOKUP($A:$A,[1]KION_IND_E_COM_LT!$A:$T,18,0),"")</f>
        <v>0</v>
      </c>
      <c r="O187" s="14">
        <v>1</v>
      </c>
      <c r="P187" s="15">
        <f t="shared" si="2"/>
        <v>100</v>
      </c>
      <c r="Q187" s="16">
        <v>44074</v>
      </c>
      <c r="R187" s="17">
        <v>7</v>
      </c>
      <c r="S187" s="13" t="s">
        <v>0</v>
      </c>
    </row>
    <row r="188" spans="1:19" x14ac:dyDescent="0.25">
      <c r="A188" s="13">
        <v>202607318</v>
      </c>
      <c r="B188" s="27" t="s">
        <v>90</v>
      </c>
      <c r="C188" s="28">
        <v>3</v>
      </c>
      <c r="D188" s="13">
        <v>681202</v>
      </c>
      <c r="E188" s="13" t="s">
        <v>2</v>
      </c>
      <c r="F188" s="13">
        <v>100</v>
      </c>
      <c r="G188" s="13">
        <v>100</v>
      </c>
      <c r="H188" s="13"/>
      <c r="I188" s="13"/>
      <c r="J188" s="13"/>
      <c r="K188" s="13">
        <v>100</v>
      </c>
      <c r="L188" s="22" t="s">
        <v>21</v>
      </c>
      <c r="M188" s="13" t="s">
        <v>320</v>
      </c>
      <c r="N188" s="13">
        <f>IFERROR(VLOOKUP($A:$A,[1]KION_IND_E_COM_LT!$A:$T,18,0),"")</f>
        <v>0</v>
      </c>
      <c r="O188" s="14">
        <v>1</v>
      </c>
      <c r="P188" s="15">
        <f t="shared" si="2"/>
        <v>100</v>
      </c>
      <c r="Q188" s="16">
        <v>44081</v>
      </c>
      <c r="R188" s="17">
        <v>8</v>
      </c>
      <c r="S188" s="13" t="s">
        <v>0</v>
      </c>
    </row>
    <row r="189" spans="1:19" x14ac:dyDescent="0.25">
      <c r="A189" s="13">
        <v>202607319</v>
      </c>
      <c r="B189" s="27" t="s">
        <v>90</v>
      </c>
      <c r="C189" s="28">
        <v>3</v>
      </c>
      <c r="D189" s="13">
        <v>681202</v>
      </c>
      <c r="E189" s="13" t="s">
        <v>2</v>
      </c>
      <c r="F189" s="13">
        <v>100</v>
      </c>
      <c r="G189" s="13">
        <v>100</v>
      </c>
      <c r="H189" s="13"/>
      <c r="I189" s="13"/>
      <c r="J189" s="13"/>
      <c r="K189" s="13">
        <v>100</v>
      </c>
      <c r="L189" s="22" t="s">
        <v>21</v>
      </c>
      <c r="M189" s="13" t="s">
        <v>320</v>
      </c>
      <c r="N189" s="13">
        <f>IFERROR(VLOOKUP($A:$A,[1]KION_IND_E_COM_LT!$A:$T,18,0),"")</f>
        <v>0</v>
      </c>
      <c r="O189" s="14">
        <v>1</v>
      </c>
      <c r="P189" s="15">
        <f t="shared" si="2"/>
        <v>100</v>
      </c>
      <c r="Q189" s="16">
        <v>44081</v>
      </c>
      <c r="R189" s="17">
        <v>8</v>
      </c>
      <c r="S189" s="13" t="s">
        <v>0</v>
      </c>
    </row>
    <row r="190" spans="1:19" x14ac:dyDescent="0.25">
      <c r="A190" s="13">
        <v>202607320</v>
      </c>
      <c r="B190" s="27" t="s">
        <v>90</v>
      </c>
      <c r="C190" s="28">
        <v>3</v>
      </c>
      <c r="D190" s="13">
        <v>681202</v>
      </c>
      <c r="E190" s="13" t="s">
        <v>2</v>
      </c>
      <c r="F190" s="13">
        <v>100</v>
      </c>
      <c r="G190" s="13">
        <v>100</v>
      </c>
      <c r="H190" s="13"/>
      <c r="I190" s="13"/>
      <c r="J190" s="13"/>
      <c r="K190" s="13">
        <v>100</v>
      </c>
      <c r="L190" s="22" t="s">
        <v>21</v>
      </c>
      <c r="M190" s="13" t="s">
        <v>320</v>
      </c>
      <c r="N190" s="13">
        <f>IFERROR(VLOOKUP($A:$A,[1]KION_IND_E_COM_LT!$A:$T,18,0),"")</f>
        <v>0</v>
      </c>
      <c r="O190" s="14">
        <v>1</v>
      </c>
      <c r="P190" s="15">
        <f t="shared" si="2"/>
        <v>100</v>
      </c>
      <c r="Q190" s="16">
        <v>44081</v>
      </c>
      <c r="R190" s="17">
        <v>8</v>
      </c>
      <c r="S190" s="13" t="s">
        <v>0</v>
      </c>
    </row>
    <row r="191" spans="1:19" x14ac:dyDescent="0.25">
      <c r="A191" s="13">
        <v>202607321</v>
      </c>
      <c r="B191" s="27" t="s">
        <v>90</v>
      </c>
      <c r="C191" s="28">
        <v>3</v>
      </c>
      <c r="D191" s="13">
        <v>681202</v>
      </c>
      <c r="E191" s="13" t="s">
        <v>2</v>
      </c>
      <c r="F191" s="13">
        <v>100</v>
      </c>
      <c r="G191" s="13">
        <v>100</v>
      </c>
      <c r="H191" s="13"/>
      <c r="I191" s="13"/>
      <c r="J191" s="13"/>
      <c r="K191" s="13">
        <v>100</v>
      </c>
      <c r="L191" s="22" t="s">
        <v>21</v>
      </c>
      <c r="M191" s="13" t="s">
        <v>320</v>
      </c>
      <c r="N191" s="13">
        <f>IFERROR(VLOOKUP($A:$A,[1]KION_IND_E_COM_LT!$A:$T,18,0),"")</f>
        <v>0</v>
      </c>
      <c r="O191" s="14">
        <v>1</v>
      </c>
      <c r="P191" s="15">
        <f t="shared" si="2"/>
        <v>100</v>
      </c>
      <c r="Q191" s="16">
        <v>44081</v>
      </c>
      <c r="R191" s="17">
        <v>8</v>
      </c>
      <c r="S191" s="13" t="s">
        <v>0</v>
      </c>
    </row>
    <row r="192" spans="1:19" x14ac:dyDescent="0.25">
      <c r="A192" s="13">
        <v>202607322</v>
      </c>
      <c r="B192" s="27" t="s">
        <v>90</v>
      </c>
      <c r="C192" s="28">
        <v>3</v>
      </c>
      <c r="D192" s="13">
        <v>681202</v>
      </c>
      <c r="E192" s="13" t="s">
        <v>2</v>
      </c>
      <c r="F192" s="13">
        <v>100</v>
      </c>
      <c r="G192" s="13">
        <v>100</v>
      </c>
      <c r="H192" s="13"/>
      <c r="I192" s="13"/>
      <c r="J192" s="13"/>
      <c r="K192" s="13">
        <v>100</v>
      </c>
      <c r="L192" s="22" t="s">
        <v>21</v>
      </c>
      <c r="M192" s="13" t="s">
        <v>61</v>
      </c>
      <c r="N192" s="13">
        <f>IFERROR(VLOOKUP($A:$A,[1]KION_IND_E_COM_LT!$A:$T,18,0),"")</f>
        <v>0</v>
      </c>
      <c r="O192" s="14">
        <v>1</v>
      </c>
      <c r="P192" s="15">
        <f t="shared" si="2"/>
        <v>100</v>
      </c>
      <c r="Q192" s="16">
        <v>44088</v>
      </c>
      <c r="R192" s="17">
        <v>9</v>
      </c>
      <c r="S192" s="13" t="s">
        <v>0</v>
      </c>
    </row>
    <row r="193" spans="1:19" x14ac:dyDescent="0.25">
      <c r="A193" s="13">
        <v>202607323</v>
      </c>
      <c r="B193" s="27" t="s">
        <v>90</v>
      </c>
      <c r="C193" s="28">
        <v>3</v>
      </c>
      <c r="D193" s="13">
        <v>681202</v>
      </c>
      <c r="E193" s="13" t="s">
        <v>2</v>
      </c>
      <c r="F193" s="13">
        <v>100</v>
      </c>
      <c r="G193" s="13">
        <v>100</v>
      </c>
      <c r="H193" s="13"/>
      <c r="I193" s="13"/>
      <c r="J193" s="13"/>
      <c r="K193" s="13">
        <v>100</v>
      </c>
      <c r="L193" s="22"/>
      <c r="M193" s="13" t="s">
        <v>23</v>
      </c>
      <c r="N193" s="13" t="str">
        <f>IFERROR(VLOOKUP($A:$A,[1]KION_IND_E_COM_LT!$A:$T,18,0),"")</f>
        <v/>
      </c>
      <c r="O193" s="14">
        <v>1</v>
      </c>
      <c r="P193" s="15">
        <f t="shared" si="2"/>
        <v>100</v>
      </c>
      <c r="Q193" s="16">
        <v>44088</v>
      </c>
      <c r="R193" s="17">
        <v>9</v>
      </c>
      <c r="S193" s="13" t="s">
        <v>0</v>
      </c>
    </row>
    <row r="194" spans="1:19" x14ac:dyDescent="0.25">
      <c r="A194" s="13">
        <v>202607324</v>
      </c>
      <c r="B194" s="27" t="s">
        <v>90</v>
      </c>
      <c r="C194" s="28">
        <v>3</v>
      </c>
      <c r="D194" s="13">
        <v>681202</v>
      </c>
      <c r="E194" s="13" t="s">
        <v>2</v>
      </c>
      <c r="F194" s="13">
        <v>100</v>
      </c>
      <c r="G194" s="13">
        <v>100</v>
      </c>
      <c r="H194" s="13"/>
      <c r="I194" s="13"/>
      <c r="J194" s="13"/>
      <c r="K194" s="13">
        <v>100</v>
      </c>
      <c r="L194" s="22"/>
      <c r="M194" s="13" t="s">
        <v>23</v>
      </c>
      <c r="N194" s="13" t="str">
        <f>IFERROR(VLOOKUP($A:$A,[1]KION_IND_E_COM_LT!$A:$T,18,0),"")</f>
        <v/>
      </c>
      <c r="O194" s="14">
        <v>1</v>
      </c>
      <c r="P194" s="15">
        <f t="shared" si="2"/>
        <v>100</v>
      </c>
      <c r="Q194" s="16">
        <v>44088</v>
      </c>
      <c r="R194" s="17">
        <v>9</v>
      </c>
      <c r="S194" s="13" t="s">
        <v>0</v>
      </c>
    </row>
    <row r="195" spans="1:19" x14ac:dyDescent="0.25">
      <c r="A195" s="13">
        <v>202609183</v>
      </c>
      <c r="B195" s="27" t="s">
        <v>290</v>
      </c>
      <c r="C195" s="28">
        <v>2</v>
      </c>
      <c r="D195" s="13">
        <v>681202</v>
      </c>
      <c r="E195" s="13" t="s">
        <v>2</v>
      </c>
      <c r="F195" s="13">
        <v>100</v>
      </c>
      <c r="G195" s="13">
        <v>100</v>
      </c>
      <c r="H195" s="13"/>
      <c r="I195" s="13"/>
      <c r="J195" s="13"/>
      <c r="K195" s="13">
        <v>100</v>
      </c>
      <c r="L195" s="22" t="s">
        <v>21</v>
      </c>
      <c r="M195" s="13" t="s">
        <v>38</v>
      </c>
      <c r="N195" s="13" t="str">
        <f>IFERROR(VLOOKUP($A:$A,[1]KION_IND_E_COM_LT!$A:$T,18,0),"")</f>
        <v>10/08 - A</v>
      </c>
      <c r="O195" s="14">
        <v>1</v>
      </c>
      <c r="P195" s="15">
        <f t="shared" ref="P195:P258" si="3">K195*O195</f>
        <v>100</v>
      </c>
      <c r="Q195" s="16" t="s">
        <v>3</v>
      </c>
      <c r="R195" s="17" t="s">
        <v>3</v>
      </c>
      <c r="S195" s="13" t="s">
        <v>0</v>
      </c>
    </row>
    <row r="196" spans="1:19" x14ac:dyDescent="0.25">
      <c r="A196" s="13">
        <v>202609184</v>
      </c>
      <c r="B196" s="27" t="s">
        <v>290</v>
      </c>
      <c r="C196" s="28">
        <v>2</v>
      </c>
      <c r="D196" s="13">
        <v>681202</v>
      </c>
      <c r="E196" s="13" t="s">
        <v>2</v>
      </c>
      <c r="F196" s="13">
        <v>100</v>
      </c>
      <c r="G196" s="13">
        <v>100</v>
      </c>
      <c r="H196" s="13"/>
      <c r="I196" s="13"/>
      <c r="J196" s="13"/>
      <c r="K196" s="13">
        <v>100</v>
      </c>
      <c r="L196" s="22" t="s">
        <v>21</v>
      </c>
      <c r="M196" s="13" t="s">
        <v>44</v>
      </c>
      <c r="N196" s="13" t="str">
        <f>IFERROR(VLOOKUP($A:$A,[1]KION_IND_E_COM_LT!$A:$T,18,0),"")</f>
        <v>10/08 - A</v>
      </c>
      <c r="O196" s="14">
        <v>1</v>
      </c>
      <c r="P196" s="15">
        <f t="shared" si="3"/>
        <v>100</v>
      </c>
      <c r="Q196" s="16" t="s">
        <v>3</v>
      </c>
      <c r="R196" s="17" t="s">
        <v>3</v>
      </c>
      <c r="S196" s="13" t="s">
        <v>0</v>
      </c>
    </row>
    <row r="197" spans="1:19" x14ac:dyDescent="0.25">
      <c r="A197" s="13">
        <v>202610184</v>
      </c>
      <c r="B197" s="27" t="s">
        <v>291</v>
      </c>
      <c r="C197" s="28">
        <v>2</v>
      </c>
      <c r="D197" s="13">
        <v>681202</v>
      </c>
      <c r="E197" s="13" t="s">
        <v>2</v>
      </c>
      <c r="F197" s="13">
        <v>100</v>
      </c>
      <c r="G197" s="13">
        <v>100</v>
      </c>
      <c r="H197" s="13"/>
      <c r="I197" s="13"/>
      <c r="J197" s="13"/>
      <c r="K197" s="13">
        <v>100</v>
      </c>
      <c r="L197" s="22" t="s">
        <v>21</v>
      </c>
      <c r="M197" s="13" t="s">
        <v>61</v>
      </c>
      <c r="N197" s="13">
        <f>IFERROR(VLOOKUP($A:$A,[1]KION_IND_E_COM_LT!$A:$T,18,0),"")</f>
        <v>0</v>
      </c>
      <c r="O197" s="14">
        <v>1</v>
      </c>
      <c r="P197" s="15">
        <f t="shared" si="3"/>
        <v>100</v>
      </c>
      <c r="Q197" s="16" t="s">
        <v>3</v>
      </c>
      <c r="R197" s="17" t="s">
        <v>3</v>
      </c>
      <c r="S197" s="13" t="s">
        <v>0</v>
      </c>
    </row>
    <row r="198" spans="1:19" x14ac:dyDescent="0.25">
      <c r="A198" s="13">
        <v>202610185</v>
      </c>
      <c r="B198" s="27" t="s">
        <v>291</v>
      </c>
      <c r="C198" s="28">
        <v>2</v>
      </c>
      <c r="D198" s="13">
        <v>681202</v>
      </c>
      <c r="E198" s="13" t="s">
        <v>2</v>
      </c>
      <c r="F198" s="13">
        <v>100</v>
      </c>
      <c r="G198" s="13">
        <v>100</v>
      </c>
      <c r="H198" s="13"/>
      <c r="I198" s="13"/>
      <c r="J198" s="13"/>
      <c r="K198" s="13">
        <v>100</v>
      </c>
      <c r="L198" s="22" t="s">
        <v>21</v>
      </c>
      <c r="M198" s="13" t="s">
        <v>61</v>
      </c>
      <c r="N198" s="13">
        <f>IFERROR(VLOOKUP($A:$A,[1]KION_IND_E_COM_LT!$A:$T,18,0),"")</f>
        <v>0</v>
      </c>
      <c r="O198" s="14">
        <v>1</v>
      </c>
      <c r="P198" s="15">
        <f t="shared" si="3"/>
        <v>100</v>
      </c>
      <c r="Q198" s="16" t="s">
        <v>3</v>
      </c>
      <c r="R198" s="17" t="s">
        <v>3</v>
      </c>
      <c r="S198" s="13" t="s">
        <v>0</v>
      </c>
    </row>
    <row r="199" spans="1:19" x14ac:dyDescent="0.25">
      <c r="A199" s="13">
        <v>202613113</v>
      </c>
      <c r="B199" s="27" t="s">
        <v>92</v>
      </c>
      <c r="C199" s="28">
        <v>0</v>
      </c>
      <c r="D199" s="13">
        <v>681202</v>
      </c>
      <c r="E199" s="13" t="s">
        <v>2</v>
      </c>
      <c r="F199" s="13">
        <v>100</v>
      </c>
      <c r="G199" s="13">
        <v>100</v>
      </c>
      <c r="H199" s="13"/>
      <c r="I199" s="13">
        <v>100</v>
      </c>
      <c r="J199" s="13"/>
      <c r="K199" s="13">
        <v>0</v>
      </c>
      <c r="L199" s="22" t="s">
        <v>21</v>
      </c>
      <c r="M199" s="13" t="s">
        <v>42</v>
      </c>
      <c r="N199" s="13" t="str">
        <f>IFERROR(VLOOKUP($A:$A,[1]KION_IND_E_COM_LT!$A:$T,18,0),"")</f>
        <v>06/08 - B</v>
      </c>
      <c r="O199" s="14"/>
      <c r="P199" s="15">
        <f t="shared" si="3"/>
        <v>0</v>
      </c>
      <c r="Q199" s="16"/>
      <c r="R199" s="17">
        <v>6</v>
      </c>
      <c r="S199" s="13" t="s">
        <v>0</v>
      </c>
    </row>
    <row r="200" spans="1:19" x14ac:dyDescent="0.25">
      <c r="A200" s="13">
        <v>202613114</v>
      </c>
      <c r="B200" s="27" t="s">
        <v>92</v>
      </c>
      <c r="C200" s="28">
        <v>0</v>
      </c>
      <c r="D200" s="13">
        <v>681202</v>
      </c>
      <c r="E200" s="13" t="s">
        <v>2</v>
      </c>
      <c r="F200" s="13">
        <v>100</v>
      </c>
      <c r="G200" s="13">
        <v>100</v>
      </c>
      <c r="H200" s="13"/>
      <c r="I200" s="13">
        <v>100</v>
      </c>
      <c r="J200" s="13"/>
      <c r="K200" s="13">
        <v>0</v>
      </c>
      <c r="L200" s="22" t="s">
        <v>21</v>
      </c>
      <c r="M200" s="13" t="s">
        <v>42</v>
      </c>
      <c r="N200" s="13" t="str">
        <f>IFERROR(VLOOKUP($A:$A,[1]KION_IND_E_COM_LT!$A:$T,18,0),"")</f>
        <v>06/08 - B</v>
      </c>
      <c r="O200" s="14"/>
      <c r="P200" s="15">
        <f t="shared" si="3"/>
        <v>0</v>
      </c>
      <c r="Q200" s="16"/>
      <c r="R200" s="17">
        <v>6</v>
      </c>
      <c r="S200" s="13" t="s">
        <v>0</v>
      </c>
    </row>
    <row r="201" spans="1:19" x14ac:dyDescent="0.25">
      <c r="A201" s="13">
        <v>202613115</v>
      </c>
      <c r="B201" s="27" t="s">
        <v>92</v>
      </c>
      <c r="C201" s="28">
        <v>0</v>
      </c>
      <c r="D201" s="13">
        <v>681202</v>
      </c>
      <c r="E201" s="13" t="s">
        <v>2</v>
      </c>
      <c r="F201" s="13">
        <v>100</v>
      </c>
      <c r="G201" s="13">
        <v>100</v>
      </c>
      <c r="H201" s="13"/>
      <c r="I201" s="13">
        <v>100</v>
      </c>
      <c r="J201" s="13"/>
      <c r="K201" s="13">
        <v>0</v>
      </c>
      <c r="L201" s="22" t="s">
        <v>21</v>
      </c>
      <c r="M201" s="13" t="s">
        <v>42</v>
      </c>
      <c r="N201" s="13" t="str">
        <f>IFERROR(VLOOKUP($A:$A,[1]KION_IND_E_COM_LT!$A:$T,18,0),"")</f>
        <v>06/08 - B</v>
      </c>
      <c r="O201" s="14"/>
      <c r="P201" s="15">
        <f t="shared" si="3"/>
        <v>0</v>
      </c>
      <c r="Q201" s="16"/>
      <c r="R201" s="17">
        <v>6</v>
      </c>
      <c r="S201" s="13" t="s">
        <v>0</v>
      </c>
    </row>
    <row r="202" spans="1:19" x14ac:dyDescent="0.25">
      <c r="A202" s="13">
        <v>202613116</v>
      </c>
      <c r="B202" s="27" t="s">
        <v>92</v>
      </c>
      <c r="C202" s="28">
        <v>0</v>
      </c>
      <c r="D202" s="13">
        <v>681202</v>
      </c>
      <c r="E202" s="13" t="s">
        <v>2</v>
      </c>
      <c r="F202" s="13">
        <v>100</v>
      </c>
      <c r="G202" s="13">
        <v>100</v>
      </c>
      <c r="H202" s="13"/>
      <c r="I202" s="13"/>
      <c r="J202" s="13"/>
      <c r="K202" s="13">
        <v>100</v>
      </c>
      <c r="L202" s="22" t="s">
        <v>21</v>
      </c>
      <c r="M202" s="13" t="s">
        <v>320</v>
      </c>
      <c r="N202" s="13">
        <f>IFERROR(VLOOKUP($A:$A,[1]KION_IND_E_COM_LT!$A:$T,18,0),"")</f>
        <v>0</v>
      </c>
      <c r="O202" s="14">
        <v>1</v>
      </c>
      <c r="P202" s="15">
        <f t="shared" si="3"/>
        <v>100</v>
      </c>
      <c r="Q202" s="16">
        <v>44067</v>
      </c>
      <c r="R202" s="17">
        <v>6</v>
      </c>
      <c r="S202" s="13" t="s">
        <v>0</v>
      </c>
    </row>
    <row r="203" spans="1:19" x14ac:dyDescent="0.25">
      <c r="A203" s="13">
        <v>202613117</v>
      </c>
      <c r="B203" s="27" t="s">
        <v>92</v>
      </c>
      <c r="C203" s="28">
        <v>0</v>
      </c>
      <c r="D203" s="13">
        <v>681202</v>
      </c>
      <c r="E203" s="13" t="s">
        <v>2</v>
      </c>
      <c r="F203" s="13">
        <v>100</v>
      </c>
      <c r="G203" s="13">
        <v>100</v>
      </c>
      <c r="H203" s="13"/>
      <c r="I203" s="13"/>
      <c r="J203" s="13"/>
      <c r="K203" s="13">
        <v>100</v>
      </c>
      <c r="L203" s="22" t="s">
        <v>21</v>
      </c>
      <c r="M203" s="13" t="s">
        <v>320</v>
      </c>
      <c r="N203" s="13">
        <f>IFERROR(VLOOKUP($A:$A,[1]KION_IND_E_COM_LT!$A:$T,18,0),"")</f>
        <v>0</v>
      </c>
      <c r="O203" s="14">
        <v>1</v>
      </c>
      <c r="P203" s="15">
        <f t="shared" si="3"/>
        <v>100</v>
      </c>
      <c r="Q203" s="16">
        <v>44074</v>
      </c>
      <c r="R203" s="17">
        <v>7</v>
      </c>
      <c r="S203" s="13" t="s">
        <v>0</v>
      </c>
    </row>
    <row r="204" spans="1:19" x14ac:dyDescent="0.25">
      <c r="A204" s="13">
        <v>202613118</v>
      </c>
      <c r="B204" s="27" t="s">
        <v>92</v>
      </c>
      <c r="C204" s="28">
        <v>0</v>
      </c>
      <c r="D204" s="13">
        <v>681202</v>
      </c>
      <c r="E204" s="13" t="s">
        <v>2</v>
      </c>
      <c r="F204" s="13">
        <v>100</v>
      </c>
      <c r="G204" s="13">
        <v>100</v>
      </c>
      <c r="H204" s="13"/>
      <c r="I204" s="13"/>
      <c r="J204" s="13"/>
      <c r="K204" s="13">
        <v>100</v>
      </c>
      <c r="L204" s="22" t="s">
        <v>21</v>
      </c>
      <c r="M204" s="13" t="s">
        <v>320</v>
      </c>
      <c r="N204" s="13">
        <f>IFERROR(VLOOKUP($A:$A,[1]KION_IND_E_COM_LT!$A:$T,18,0),"")</f>
        <v>0</v>
      </c>
      <c r="O204" s="14">
        <v>1</v>
      </c>
      <c r="P204" s="15">
        <f t="shared" si="3"/>
        <v>100</v>
      </c>
      <c r="Q204" s="16">
        <v>44081</v>
      </c>
      <c r="R204" s="17">
        <v>8</v>
      </c>
      <c r="S204" s="13" t="s">
        <v>0</v>
      </c>
    </row>
    <row r="205" spans="1:19" x14ac:dyDescent="0.25">
      <c r="A205" s="13">
        <v>202614117</v>
      </c>
      <c r="B205" s="27" t="s">
        <v>103</v>
      </c>
      <c r="C205" s="28">
        <v>1</v>
      </c>
      <c r="D205" s="13">
        <v>681202</v>
      </c>
      <c r="E205" s="13" t="s">
        <v>2</v>
      </c>
      <c r="F205" s="13">
        <v>100</v>
      </c>
      <c r="G205" s="13">
        <v>100</v>
      </c>
      <c r="H205" s="13"/>
      <c r="I205" s="13"/>
      <c r="J205" s="13">
        <v>100</v>
      </c>
      <c r="K205" s="13">
        <v>0</v>
      </c>
      <c r="L205" s="22" t="s">
        <v>21</v>
      </c>
      <c r="M205" s="13" t="s">
        <v>320</v>
      </c>
      <c r="N205" s="13">
        <f>IFERROR(VLOOKUP($A:$A,[1]KION_IND_E_COM_LT!$A:$T,18,0),"")</f>
        <v>0</v>
      </c>
      <c r="O205" s="14"/>
      <c r="P205" s="15">
        <f t="shared" si="3"/>
        <v>0</v>
      </c>
      <c r="Q205" s="16"/>
      <c r="R205" s="17">
        <v>7</v>
      </c>
      <c r="S205" s="13" t="s">
        <v>0</v>
      </c>
    </row>
    <row r="206" spans="1:19" x14ac:dyDescent="0.25">
      <c r="A206" s="13">
        <v>202614118</v>
      </c>
      <c r="B206" s="27" t="s">
        <v>103</v>
      </c>
      <c r="C206" s="28">
        <v>1</v>
      </c>
      <c r="D206" s="13">
        <v>681202</v>
      </c>
      <c r="E206" s="13" t="s">
        <v>2</v>
      </c>
      <c r="F206" s="13">
        <v>100</v>
      </c>
      <c r="G206" s="13">
        <v>100</v>
      </c>
      <c r="H206" s="13"/>
      <c r="I206" s="13"/>
      <c r="J206" s="13">
        <v>100</v>
      </c>
      <c r="K206" s="13">
        <v>0</v>
      </c>
      <c r="L206" s="22" t="s">
        <v>21</v>
      </c>
      <c r="M206" s="13" t="s">
        <v>320</v>
      </c>
      <c r="N206" s="13">
        <f>IFERROR(VLOOKUP($A:$A,[1]KION_IND_E_COM_LT!$A:$T,18,0),"")</f>
        <v>0</v>
      </c>
      <c r="O206" s="14"/>
      <c r="P206" s="15">
        <f t="shared" si="3"/>
        <v>0</v>
      </c>
      <c r="Q206" s="16"/>
      <c r="R206" s="17">
        <v>7</v>
      </c>
      <c r="S206" s="13" t="s">
        <v>0</v>
      </c>
    </row>
    <row r="207" spans="1:19" x14ac:dyDescent="0.25">
      <c r="A207" s="13">
        <v>202614119</v>
      </c>
      <c r="B207" s="27" t="s">
        <v>103</v>
      </c>
      <c r="C207" s="28">
        <v>1</v>
      </c>
      <c r="D207" s="13">
        <v>681202</v>
      </c>
      <c r="E207" s="13" t="s">
        <v>2</v>
      </c>
      <c r="F207" s="13">
        <v>100</v>
      </c>
      <c r="G207" s="13">
        <v>100</v>
      </c>
      <c r="H207" s="13"/>
      <c r="I207" s="13"/>
      <c r="J207" s="13"/>
      <c r="K207" s="13">
        <v>100</v>
      </c>
      <c r="L207" s="22" t="s">
        <v>21</v>
      </c>
      <c r="M207" s="13" t="s">
        <v>27</v>
      </c>
      <c r="N207" s="13">
        <f>IFERROR(VLOOKUP($A:$A,[1]KION_IND_E_COM_LT!$A:$T,18,0),"")</f>
        <v>0</v>
      </c>
      <c r="O207" s="14">
        <v>1</v>
      </c>
      <c r="P207" s="15">
        <f t="shared" si="3"/>
        <v>100</v>
      </c>
      <c r="Q207" s="16">
        <v>44074</v>
      </c>
      <c r="R207" s="17">
        <v>7</v>
      </c>
      <c r="S207" s="13" t="s">
        <v>0</v>
      </c>
    </row>
    <row r="208" spans="1:19" x14ac:dyDescent="0.25">
      <c r="A208" s="13">
        <v>202614120</v>
      </c>
      <c r="B208" s="27" t="s">
        <v>103</v>
      </c>
      <c r="C208" s="28">
        <v>1</v>
      </c>
      <c r="D208" s="13">
        <v>681202</v>
      </c>
      <c r="E208" s="13" t="s">
        <v>2</v>
      </c>
      <c r="F208" s="13">
        <v>100</v>
      </c>
      <c r="G208" s="13">
        <v>100</v>
      </c>
      <c r="H208" s="13"/>
      <c r="I208" s="13"/>
      <c r="J208" s="13"/>
      <c r="K208" s="13">
        <v>100</v>
      </c>
      <c r="L208" s="22" t="s">
        <v>21</v>
      </c>
      <c r="M208" s="13" t="s">
        <v>27</v>
      </c>
      <c r="N208" s="13">
        <f>IFERROR(VLOOKUP($A:$A,[1]KION_IND_E_COM_LT!$A:$T,18,0),"")</f>
        <v>0</v>
      </c>
      <c r="O208" s="14">
        <v>1</v>
      </c>
      <c r="P208" s="15">
        <f t="shared" si="3"/>
        <v>100</v>
      </c>
      <c r="Q208" s="16">
        <v>44081</v>
      </c>
      <c r="R208" s="17">
        <v>8</v>
      </c>
      <c r="S208" s="13" t="s">
        <v>0</v>
      </c>
    </row>
    <row r="209" spans="1:19" x14ac:dyDescent="0.25">
      <c r="A209" s="13">
        <v>202614121</v>
      </c>
      <c r="B209" s="27" t="s">
        <v>103</v>
      </c>
      <c r="C209" s="28">
        <v>1</v>
      </c>
      <c r="D209" s="13">
        <v>681202</v>
      </c>
      <c r="E209" s="13" t="s">
        <v>2</v>
      </c>
      <c r="F209" s="13">
        <v>100</v>
      </c>
      <c r="G209" s="13">
        <v>100</v>
      </c>
      <c r="H209" s="13"/>
      <c r="I209" s="13"/>
      <c r="J209" s="13"/>
      <c r="K209" s="13">
        <v>100</v>
      </c>
      <c r="L209" s="22" t="s">
        <v>21</v>
      </c>
      <c r="M209" s="13" t="s">
        <v>27</v>
      </c>
      <c r="N209" s="13">
        <f>IFERROR(VLOOKUP($A:$A,[1]KION_IND_E_COM_LT!$A:$T,18,0),"")</f>
        <v>0</v>
      </c>
      <c r="O209" s="14">
        <v>1</v>
      </c>
      <c r="P209" s="15">
        <f t="shared" si="3"/>
        <v>100</v>
      </c>
      <c r="Q209" s="16">
        <v>44081</v>
      </c>
      <c r="R209" s="17">
        <v>8</v>
      </c>
      <c r="S209" s="13" t="s">
        <v>0</v>
      </c>
    </row>
    <row r="210" spans="1:19" x14ac:dyDescent="0.25">
      <c r="A210" s="13">
        <v>202615311</v>
      </c>
      <c r="B210" s="27" t="s">
        <v>192</v>
      </c>
      <c r="C210" s="28">
        <v>1</v>
      </c>
      <c r="D210" s="13">
        <v>681202</v>
      </c>
      <c r="E210" s="13" t="s">
        <v>2</v>
      </c>
      <c r="F210" s="13">
        <v>100</v>
      </c>
      <c r="G210" s="13">
        <v>100</v>
      </c>
      <c r="H210" s="13"/>
      <c r="I210" s="13">
        <v>100</v>
      </c>
      <c r="J210" s="13"/>
      <c r="K210" s="13">
        <v>0</v>
      </c>
      <c r="L210" s="22" t="s">
        <v>21</v>
      </c>
      <c r="M210" s="13" t="s">
        <v>48</v>
      </c>
      <c r="N210" s="13" t="str">
        <f>IFERROR(VLOOKUP($A:$A,[1]KION_IND_E_COM_LT!$A:$T,18,0),"")</f>
        <v>10/08 - A</v>
      </c>
      <c r="O210" s="14"/>
      <c r="P210" s="15">
        <f t="shared" si="3"/>
        <v>0</v>
      </c>
      <c r="Q210" s="16"/>
      <c r="R210" s="17" t="s">
        <v>3</v>
      </c>
      <c r="S210" s="13" t="s">
        <v>0</v>
      </c>
    </row>
    <row r="211" spans="1:19" x14ac:dyDescent="0.25">
      <c r="A211" s="13">
        <v>202615312</v>
      </c>
      <c r="B211" s="27" t="s">
        <v>192</v>
      </c>
      <c r="C211" s="28">
        <v>1</v>
      </c>
      <c r="D211" s="13">
        <v>681202</v>
      </c>
      <c r="E211" s="13" t="s">
        <v>2</v>
      </c>
      <c r="F211" s="13">
        <v>100</v>
      </c>
      <c r="G211" s="13">
        <v>100</v>
      </c>
      <c r="H211" s="13"/>
      <c r="I211" s="13">
        <v>100</v>
      </c>
      <c r="J211" s="13"/>
      <c r="K211" s="13">
        <v>0</v>
      </c>
      <c r="L211" s="22" t="s">
        <v>21</v>
      </c>
      <c r="M211" s="13" t="s">
        <v>48</v>
      </c>
      <c r="N211" s="13" t="str">
        <f>IFERROR(VLOOKUP($A:$A,[1]KION_IND_E_COM_LT!$A:$T,18,0),"")</f>
        <v>10/08 - A</v>
      </c>
      <c r="O211" s="14"/>
      <c r="P211" s="15">
        <f t="shared" si="3"/>
        <v>0</v>
      </c>
      <c r="Q211" s="16"/>
      <c r="R211" s="17" t="s">
        <v>3</v>
      </c>
      <c r="S211" s="13" t="s">
        <v>0</v>
      </c>
    </row>
    <row r="212" spans="1:19" x14ac:dyDescent="0.25">
      <c r="A212" s="13">
        <v>202615313</v>
      </c>
      <c r="B212" s="27" t="s">
        <v>192</v>
      </c>
      <c r="C212" s="28">
        <v>1</v>
      </c>
      <c r="D212" s="13">
        <v>681202</v>
      </c>
      <c r="E212" s="13" t="s">
        <v>2</v>
      </c>
      <c r="F212" s="13">
        <v>100</v>
      </c>
      <c r="G212" s="13">
        <v>100</v>
      </c>
      <c r="H212" s="13"/>
      <c r="I212" s="13">
        <v>100</v>
      </c>
      <c r="J212" s="13"/>
      <c r="K212" s="13">
        <v>0</v>
      </c>
      <c r="L212" s="22" t="s">
        <v>21</v>
      </c>
      <c r="M212" s="13" t="s">
        <v>48</v>
      </c>
      <c r="N212" s="13" t="str">
        <f>IFERROR(VLOOKUP($A:$A,[1]KION_IND_E_COM_LT!$A:$T,18,0),"")</f>
        <v>10/08 - A</v>
      </c>
      <c r="O212" s="14"/>
      <c r="P212" s="15">
        <f t="shared" si="3"/>
        <v>0</v>
      </c>
      <c r="Q212" s="16"/>
      <c r="R212" s="17" t="s">
        <v>3</v>
      </c>
      <c r="S212" s="13" t="s">
        <v>0</v>
      </c>
    </row>
    <row r="213" spans="1:19" x14ac:dyDescent="0.25">
      <c r="A213" s="13">
        <v>202615314</v>
      </c>
      <c r="B213" s="27" t="s">
        <v>192</v>
      </c>
      <c r="C213" s="28">
        <v>1</v>
      </c>
      <c r="D213" s="13">
        <v>681202</v>
      </c>
      <c r="E213" s="13" t="s">
        <v>2</v>
      </c>
      <c r="F213" s="13">
        <v>100</v>
      </c>
      <c r="G213" s="13">
        <v>100</v>
      </c>
      <c r="H213" s="13"/>
      <c r="I213" s="13">
        <v>100</v>
      </c>
      <c r="J213" s="13"/>
      <c r="K213" s="13">
        <v>0</v>
      </c>
      <c r="L213" s="22" t="s">
        <v>21</v>
      </c>
      <c r="M213" s="13" t="s">
        <v>48</v>
      </c>
      <c r="N213" s="13" t="str">
        <f>IFERROR(VLOOKUP($A:$A,[1]KION_IND_E_COM_LT!$A:$T,18,0),"")</f>
        <v>10/08 - A</v>
      </c>
      <c r="O213" s="14"/>
      <c r="P213" s="15">
        <f t="shared" si="3"/>
        <v>0</v>
      </c>
      <c r="Q213" s="16"/>
      <c r="R213" s="17" t="s">
        <v>3</v>
      </c>
      <c r="S213" s="13" t="s">
        <v>0</v>
      </c>
    </row>
    <row r="214" spans="1:19" x14ac:dyDescent="0.25">
      <c r="A214" s="13">
        <v>202615315</v>
      </c>
      <c r="B214" s="27" t="s">
        <v>192</v>
      </c>
      <c r="C214" s="28">
        <v>1</v>
      </c>
      <c r="D214" s="13">
        <v>681202</v>
      </c>
      <c r="E214" s="13" t="s">
        <v>2</v>
      </c>
      <c r="F214" s="13">
        <v>100</v>
      </c>
      <c r="G214" s="13">
        <v>100</v>
      </c>
      <c r="H214" s="13"/>
      <c r="I214" s="13"/>
      <c r="J214" s="13"/>
      <c r="K214" s="13">
        <v>100</v>
      </c>
      <c r="L214" s="22" t="s">
        <v>21</v>
      </c>
      <c r="M214" s="13" t="s">
        <v>48</v>
      </c>
      <c r="N214" s="13" t="str">
        <f>IFERROR(VLOOKUP($A:$A,[1]KION_IND_E_COM_LT!$A:$T,18,0),"")</f>
        <v>10/08 - A</v>
      </c>
      <c r="O214" s="14">
        <v>1</v>
      </c>
      <c r="P214" s="15">
        <f t="shared" si="3"/>
        <v>100</v>
      </c>
      <c r="Q214" s="16" t="s">
        <v>3</v>
      </c>
      <c r="R214" s="17" t="s">
        <v>3</v>
      </c>
      <c r="S214" s="13" t="s">
        <v>0</v>
      </c>
    </row>
    <row r="215" spans="1:19" x14ac:dyDescent="0.25">
      <c r="A215" s="13">
        <v>202615316</v>
      </c>
      <c r="B215" s="27" t="s">
        <v>192</v>
      </c>
      <c r="C215" s="28">
        <v>1</v>
      </c>
      <c r="D215" s="13">
        <v>681202</v>
      </c>
      <c r="E215" s="13" t="s">
        <v>2</v>
      </c>
      <c r="F215" s="13">
        <v>100</v>
      </c>
      <c r="G215" s="13">
        <v>100</v>
      </c>
      <c r="H215" s="13"/>
      <c r="I215" s="13"/>
      <c r="J215" s="13"/>
      <c r="K215" s="13">
        <v>100</v>
      </c>
      <c r="L215" s="22" t="s">
        <v>21</v>
      </c>
      <c r="M215" s="13" t="s">
        <v>49</v>
      </c>
      <c r="N215" s="13" t="str">
        <f>IFERROR(VLOOKUP($A:$A,[1]KION_IND_E_COM_LT!$A:$T,18,0),"")</f>
        <v>10/08 - A</v>
      </c>
      <c r="O215" s="14">
        <v>1</v>
      </c>
      <c r="P215" s="15">
        <f t="shared" si="3"/>
        <v>100</v>
      </c>
      <c r="Q215" s="16" t="s">
        <v>3</v>
      </c>
      <c r="R215" s="17" t="s">
        <v>3</v>
      </c>
      <c r="S215" s="13" t="s">
        <v>0</v>
      </c>
    </row>
    <row r="216" spans="1:19" x14ac:dyDescent="0.25">
      <c r="A216" s="13">
        <v>202615317</v>
      </c>
      <c r="B216" s="27" t="s">
        <v>192</v>
      </c>
      <c r="C216" s="28">
        <v>1</v>
      </c>
      <c r="D216" s="13">
        <v>681202</v>
      </c>
      <c r="E216" s="13" t="s">
        <v>2</v>
      </c>
      <c r="F216" s="13">
        <v>100</v>
      </c>
      <c r="G216" s="13">
        <v>100</v>
      </c>
      <c r="H216" s="13"/>
      <c r="I216" s="13"/>
      <c r="J216" s="13"/>
      <c r="K216" s="13">
        <v>100</v>
      </c>
      <c r="L216" s="22" t="s">
        <v>21</v>
      </c>
      <c r="M216" s="13" t="s">
        <v>50</v>
      </c>
      <c r="N216" s="13" t="str">
        <f>IFERROR(VLOOKUP($A:$A,[1]KION_IND_E_COM_LT!$A:$T,18,0),"")</f>
        <v>10/08 - A</v>
      </c>
      <c r="O216" s="14">
        <v>1</v>
      </c>
      <c r="P216" s="15">
        <f t="shared" si="3"/>
        <v>100</v>
      </c>
      <c r="Q216" s="16" t="s">
        <v>3</v>
      </c>
      <c r="R216" s="17" t="s">
        <v>3</v>
      </c>
      <c r="S216" s="13" t="s">
        <v>0</v>
      </c>
    </row>
    <row r="217" spans="1:19" x14ac:dyDescent="0.25">
      <c r="A217" s="13">
        <v>202616168</v>
      </c>
      <c r="B217" s="27" t="s">
        <v>177</v>
      </c>
      <c r="C217" s="28" t="s">
        <v>319</v>
      </c>
      <c r="D217" s="13">
        <v>681202</v>
      </c>
      <c r="E217" s="13" t="s">
        <v>2</v>
      </c>
      <c r="F217" s="13">
        <v>100</v>
      </c>
      <c r="G217" s="13">
        <v>100</v>
      </c>
      <c r="H217" s="13"/>
      <c r="I217" s="13"/>
      <c r="J217" s="13">
        <v>100</v>
      </c>
      <c r="K217" s="13">
        <v>0</v>
      </c>
      <c r="L217" s="22" t="s">
        <v>21</v>
      </c>
      <c r="M217" s="13" t="s">
        <v>45</v>
      </c>
      <c r="N217" s="13">
        <f>IFERROR(VLOOKUP($A:$A,[1]KION_IND_E_COM_LT!$A:$T,18,0),"")</f>
        <v>0</v>
      </c>
      <c r="O217" s="14"/>
      <c r="P217" s="15">
        <f t="shared" si="3"/>
        <v>0</v>
      </c>
      <c r="Q217" s="16"/>
      <c r="R217" s="17">
        <v>8</v>
      </c>
      <c r="S217" s="13" t="s">
        <v>0</v>
      </c>
    </row>
    <row r="218" spans="1:19" x14ac:dyDescent="0.25">
      <c r="A218" s="13">
        <v>202616169</v>
      </c>
      <c r="B218" s="27" t="s">
        <v>177</v>
      </c>
      <c r="C218" s="28">
        <v>0</v>
      </c>
      <c r="D218" s="13">
        <v>681202</v>
      </c>
      <c r="E218" s="13" t="s">
        <v>2</v>
      </c>
      <c r="F218" s="13">
        <v>100</v>
      </c>
      <c r="G218" s="13">
        <v>100</v>
      </c>
      <c r="H218" s="13"/>
      <c r="I218" s="13">
        <v>100</v>
      </c>
      <c r="J218" s="13"/>
      <c r="K218" s="13">
        <v>0</v>
      </c>
      <c r="L218" s="22" t="s">
        <v>21</v>
      </c>
      <c r="M218" s="13" t="s">
        <v>49</v>
      </c>
      <c r="N218" s="13">
        <f>IFERROR(VLOOKUP($A:$A,[1]KION_IND_E_COM_LT!$A:$T,18,0),"")</f>
        <v>0</v>
      </c>
      <c r="O218" s="14"/>
      <c r="P218" s="15">
        <f t="shared" si="3"/>
        <v>0</v>
      </c>
      <c r="Q218" s="16"/>
      <c r="R218" s="17">
        <v>8</v>
      </c>
      <c r="S218" s="13" t="s">
        <v>0</v>
      </c>
    </row>
    <row r="219" spans="1:19" x14ac:dyDescent="0.25">
      <c r="A219" s="13">
        <v>202616170</v>
      </c>
      <c r="B219" s="27" t="s">
        <v>177</v>
      </c>
      <c r="C219" s="28">
        <v>0</v>
      </c>
      <c r="D219" s="13">
        <v>681202</v>
      </c>
      <c r="E219" s="13" t="s">
        <v>2</v>
      </c>
      <c r="F219" s="13">
        <v>100</v>
      </c>
      <c r="G219" s="13">
        <v>100</v>
      </c>
      <c r="H219" s="13"/>
      <c r="I219" s="13"/>
      <c r="J219" s="13"/>
      <c r="K219" s="13">
        <v>100</v>
      </c>
      <c r="L219" s="22" t="s">
        <v>21</v>
      </c>
      <c r="M219" s="13" t="s">
        <v>61</v>
      </c>
      <c r="N219" s="13">
        <f>IFERROR(VLOOKUP($A:$A,[1]KION_IND_E_COM_LT!$A:$T,18,0),"")</f>
        <v>0</v>
      </c>
      <c r="O219" s="14">
        <v>1</v>
      </c>
      <c r="P219" s="15">
        <f t="shared" si="3"/>
        <v>100</v>
      </c>
      <c r="Q219" s="16">
        <v>44081</v>
      </c>
      <c r="R219" s="17">
        <v>8</v>
      </c>
      <c r="S219" s="13" t="s">
        <v>0</v>
      </c>
    </row>
    <row r="220" spans="1:19" x14ac:dyDescent="0.25">
      <c r="A220" s="13">
        <v>202616171</v>
      </c>
      <c r="B220" s="27" t="s">
        <v>177</v>
      </c>
      <c r="C220" s="28">
        <v>0</v>
      </c>
      <c r="D220" s="13">
        <v>681202</v>
      </c>
      <c r="E220" s="13" t="s">
        <v>2</v>
      </c>
      <c r="F220" s="13">
        <v>100</v>
      </c>
      <c r="G220" s="13">
        <v>100</v>
      </c>
      <c r="H220" s="13"/>
      <c r="I220" s="13"/>
      <c r="J220" s="13"/>
      <c r="K220" s="13">
        <v>100</v>
      </c>
      <c r="L220" s="22" t="s">
        <v>21</v>
      </c>
      <c r="M220" s="13" t="s">
        <v>61</v>
      </c>
      <c r="N220" s="13">
        <f>IFERROR(VLOOKUP($A:$A,[1]KION_IND_E_COM_LT!$A:$T,18,0),"")</f>
        <v>0</v>
      </c>
      <c r="O220" s="14">
        <v>1</v>
      </c>
      <c r="P220" s="15">
        <f t="shared" si="3"/>
        <v>100</v>
      </c>
      <c r="Q220" s="16">
        <v>44081</v>
      </c>
      <c r="R220" s="17">
        <v>8</v>
      </c>
      <c r="S220" s="13" t="s">
        <v>0</v>
      </c>
    </row>
    <row r="221" spans="1:19" x14ac:dyDescent="0.25">
      <c r="A221" s="13">
        <v>202616172</v>
      </c>
      <c r="B221" s="27" t="s">
        <v>177</v>
      </c>
      <c r="C221" s="28">
        <v>0</v>
      </c>
      <c r="D221" s="13">
        <v>681202</v>
      </c>
      <c r="E221" s="13" t="s">
        <v>2</v>
      </c>
      <c r="F221" s="13">
        <v>100</v>
      </c>
      <c r="G221" s="13">
        <v>100</v>
      </c>
      <c r="H221" s="13"/>
      <c r="I221" s="13"/>
      <c r="J221" s="13"/>
      <c r="K221" s="13">
        <v>100</v>
      </c>
      <c r="L221" s="22" t="s">
        <v>21</v>
      </c>
      <c r="M221" s="13" t="s">
        <v>61</v>
      </c>
      <c r="N221" s="13">
        <f>IFERROR(VLOOKUP($A:$A,[1]KION_IND_E_COM_LT!$A:$T,18,0),"")</f>
        <v>0</v>
      </c>
      <c r="O221" s="14">
        <v>1</v>
      </c>
      <c r="P221" s="15">
        <f t="shared" si="3"/>
        <v>100</v>
      </c>
      <c r="Q221" s="16">
        <v>44081</v>
      </c>
      <c r="R221" s="17">
        <v>8</v>
      </c>
      <c r="S221" s="13" t="s">
        <v>0</v>
      </c>
    </row>
    <row r="222" spans="1:19" x14ac:dyDescent="0.25">
      <c r="A222" s="13">
        <v>202616173</v>
      </c>
      <c r="B222" s="27" t="s">
        <v>177</v>
      </c>
      <c r="C222" s="28">
        <v>0</v>
      </c>
      <c r="D222" s="13">
        <v>681202</v>
      </c>
      <c r="E222" s="13" t="s">
        <v>2</v>
      </c>
      <c r="F222" s="13">
        <v>100</v>
      </c>
      <c r="G222" s="13">
        <v>100</v>
      </c>
      <c r="H222" s="13"/>
      <c r="I222" s="13"/>
      <c r="J222" s="13"/>
      <c r="K222" s="13">
        <v>100</v>
      </c>
      <c r="L222" s="22" t="s">
        <v>21</v>
      </c>
      <c r="M222" s="13" t="s">
        <v>61</v>
      </c>
      <c r="N222" s="13">
        <f>IFERROR(VLOOKUP($A:$A,[1]KION_IND_E_COM_LT!$A:$T,18,0),"")</f>
        <v>0</v>
      </c>
      <c r="O222" s="14">
        <v>1</v>
      </c>
      <c r="P222" s="15">
        <f t="shared" si="3"/>
        <v>100</v>
      </c>
      <c r="Q222" s="16">
        <v>44081</v>
      </c>
      <c r="R222" s="17">
        <v>8</v>
      </c>
      <c r="S222" s="13" t="s">
        <v>0</v>
      </c>
    </row>
    <row r="223" spans="1:19" x14ac:dyDescent="0.25">
      <c r="A223" s="13">
        <v>202616174</v>
      </c>
      <c r="B223" s="27" t="s">
        <v>177</v>
      </c>
      <c r="C223" s="28">
        <v>0</v>
      </c>
      <c r="D223" s="13">
        <v>681202</v>
      </c>
      <c r="E223" s="13" t="s">
        <v>2</v>
      </c>
      <c r="F223" s="13">
        <v>100</v>
      </c>
      <c r="G223" s="13">
        <v>100</v>
      </c>
      <c r="H223" s="13"/>
      <c r="I223" s="13"/>
      <c r="J223" s="13"/>
      <c r="K223" s="13">
        <v>100</v>
      </c>
      <c r="L223" s="22" t="s">
        <v>21</v>
      </c>
      <c r="M223" s="13" t="s">
        <v>61</v>
      </c>
      <c r="N223" s="13">
        <f>IFERROR(VLOOKUP($A:$A,[1]KION_IND_E_COM_LT!$A:$T,18,0),"")</f>
        <v>0</v>
      </c>
      <c r="O223" s="14">
        <v>1</v>
      </c>
      <c r="P223" s="15">
        <f t="shared" si="3"/>
        <v>100</v>
      </c>
      <c r="Q223" s="16">
        <v>44095</v>
      </c>
      <c r="R223" s="17">
        <v>10</v>
      </c>
      <c r="S223" s="13" t="s">
        <v>0</v>
      </c>
    </row>
    <row r="224" spans="1:19" x14ac:dyDescent="0.25">
      <c r="A224" s="13">
        <v>202617568</v>
      </c>
      <c r="B224" s="27" t="s">
        <v>310</v>
      </c>
      <c r="C224" s="28">
        <v>1</v>
      </c>
      <c r="D224" s="13">
        <v>681202</v>
      </c>
      <c r="E224" s="13" t="s">
        <v>2</v>
      </c>
      <c r="F224" s="13">
        <v>100</v>
      </c>
      <c r="G224" s="13">
        <v>100</v>
      </c>
      <c r="H224" s="13"/>
      <c r="I224" s="13"/>
      <c r="J224" s="13"/>
      <c r="K224" s="13">
        <v>100</v>
      </c>
      <c r="L224" s="22" t="s">
        <v>21</v>
      </c>
      <c r="M224" s="13" t="s">
        <v>49</v>
      </c>
      <c r="N224" s="22" t="s">
        <v>63</v>
      </c>
      <c r="O224" s="14">
        <v>1</v>
      </c>
      <c r="P224" s="15">
        <f t="shared" si="3"/>
        <v>100</v>
      </c>
      <c r="Q224" s="16" t="s">
        <v>3</v>
      </c>
      <c r="R224" s="17" t="s">
        <v>3</v>
      </c>
      <c r="S224" s="13" t="s">
        <v>0</v>
      </c>
    </row>
    <row r="225" spans="1:19" x14ac:dyDescent="0.25">
      <c r="A225" s="13">
        <v>202617569</v>
      </c>
      <c r="B225" s="27" t="s">
        <v>310</v>
      </c>
      <c r="C225" s="28">
        <v>1</v>
      </c>
      <c r="D225" s="13">
        <v>681202</v>
      </c>
      <c r="E225" s="13" t="s">
        <v>2</v>
      </c>
      <c r="F225" s="13">
        <v>100</v>
      </c>
      <c r="G225" s="13">
        <v>100</v>
      </c>
      <c r="H225" s="13"/>
      <c r="I225" s="13"/>
      <c r="J225" s="13"/>
      <c r="K225" s="13">
        <v>100</v>
      </c>
      <c r="L225" s="22" t="s">
        <v>21</v>
      </c>
      <c r="M225" s="13" t="s">
        <v>49</v>
      </c>
      <c r="N225" s="22" t="s">
        <v>63</v>
      </c>
      <c r="O225" s="14">
        <v>1</v>
      </c>
      <c r="P225" s="15">
        <f t="shared" si="3"/>
        <v>100</v>
      </c>
      <c r="Q225" s="16" t="s">
        <v>3</v>
      </c>
      <c r="R225" s="17" t="s">
        <v>3</v>
      </c>
      <c r="S225" s="13" t="s">
        <v>0</v>
      </c>
    </row>
    <row r="226" spans="1:19" x14ac:dyDescent="0.25">
      <c r="A226" s="13">
        <v>202617570</v>
      </c>
      <c r="B226" s="27" t="s">
        <v>310</v>
      </c>
      <c r="C226" s="28">
        <v>1</v>
      </c>
      <c r="D226" s="13">
        <v>681202</v>
      </c>
      <c r="E226" s="13" t="s">
        <v>2</v>
      </c>
      <c r="F226" s="13">
        <v>100</v>
      </c>
      <c r="G226" s="13">
        <v>100</v>
      </c>
      <c r="H226" s="13"/>
      <c r="I226" s="13"/>
      <c r="J226" s="13"/>
      <c r="K226" s="13">
        <v>100</v>
      </c>
      <c r="L226" s="22" t="s">
        <v>21</v>
      </c>
      <c r="M226" s="13" t="s">
        <v>49</v>
      </c>
      <c r="N226" s="22" t="s">
        <v>63</v>
      </c>
      <c r="O226" s="14">
        <v>1</v>
      </c>
      <c r="P226" s="15">
        <f t="shared" si="3"/>
        <v>100</v>
      </c>
      <c r="Q226" s="16" t="s">
        <v>3</v>
      </c>
      <c r="R226" s="17" t="s">
        <v>3</v>
      </c>
      <c r="S226" s="13" t="s">
        <v>0</v>
      </c>
    </row>
    <row r="227" spans="1:19" x14ac:dyDescent="0.25">
      <c r="A227" s="13">
        <v>202617571</v>
      </c>
      <c r="B227" s="27" t="s">
        <v>310</v>
      </c>
      <c r="C227" s="28">
        <v>1</v>
      </c>
      <c r="D227" s="13">
        <v>681202</v>
      </c>
      <c r="E227" s="13" t="s">
        <v>2</v>
      </c>
      <c r="F227" s="13">
        <v>100</v>
      </c>
      <c r="G227" s="13">
        <v>100</v>
      </c>
      <c r="H227" s="13"/>
      <c r="I227" s="13"/>
      <c r="J227" s="13"/>
      <c r="K227" s="13">
        <v>100</v>
      </c>
      <c r="L227" s="22" t="s">
        <v>21</v>
      </c>
      <c r="M227" s="13" t="s">
        <v>49</v>
      </c>
      <c r="N227" s="22" t="s">
        <v>63</v>
      </c>
      <c r="O227" s="14">
        <v>1</v>
      </c>
      <c r="P227" s="15">
        <f t="shared" si="3"/>
        <v>100</v>
      </c>
      <c r="Q227" s="16" t="s">
        <v>3</v>
      </c>
      <c r="R227" s="17" t="s">
        <v>3</v>
      </c>
      <c r="S227" s="13" t="s">
        <v>0</v>
      </c>
    </row>
    <row r="228" spans="1:19" x14ac:dyDescent="0.25">
      <c r="A228" s="13">
        <v>202617572</v>
      </c>
      <c r="B228" s="27" t="s">
        <v>310</v>
      </c>
      <c r="C228" s="28">
        <v>1</v>
      </c>
      <c r="D228" s="13">
        <v>681202</v>
      </c>
      <c r="E228" s="13" t="s">
        <v>2</v>
      </c>
      <c r="F228" s="13">
        <v>100</v>
      </c>
      <c r="G228" s="13">
        <v>100</v>
      </c>
      <c r="H228" s="13"/>
      <c r="I228" s="13"/>
      <c r="J228" s="13"/>
      <c r="K228" s="13">
        <v>100</v>
      </c>
      <c r="L228" s="22" t="s">
        <v>21</v>
      </c>
      <c r="M228" s="13" t="s">
        <v>52</v>
      </c>
      <c r="N228" s="22" t="s">
        <v>63</v>
      </c>
      <c r="O228" s="14">
        <v>1</v>
      </c>
      <c r="P228" s="15">
        <f t="shared" si="3"/>
        <v>100</v>
      </c>
      <c r="Q228" s="16" t="s">
        <v>3</v>
      </c>
      <c r="R228" s="17" t="s">
        <v>3</v>
      </c>
      <c r="S228" s="13" t="s">
        <v>0</v>
      </c>
    </row>
    <row r="229" spans="1:19" x14ac:dyDescent="0.25">
      <c r="A229" s="13">
        <v>202618539</v>
      </c>
      <c r="B229" s="27" t="s">
        <v>311</v>
      </c>
      <c r="C229" s="28">
        <v>3</v>
      </c>
      <c r="D229" s="13">
        <v>681202</v>
      </c>
      <c r="E229" s="13" t="s">
        <v>2</v>
      </c>
      <c r="F229" s="13">
        <v>100</v>
      </c>
      <c r="G229" s="13">
        <v>60</v>
      </c>
      <c r="H229" s="13"/>
      <c r="I229" s="13"/>
      <c r="J229" s="13"/>
      <c r="K229" s="13">
        <v>60</v>
      </c>
      <c r="L229" s="24" t="s">
        <v>21</v>
      </c>
      <c r="M229" s="13" t="s">
        <v>53</v>
      </c>
      <c r="N229" s="13">
        <f>IFERROR(VLOOKUP($A:$A,[1]KION_IND_E_COM_LT!$A:$T,18,0),"")</f>
        <v>0</v>
      </c>
      <c r="O229" s="14">
        <v>1</v>
      </c>
      <c r="P229" s="15">
        <f t="shared" si="3"/>
        <v>60</v>
      </c>
      <c r="Q229" s="16">
        <v>44081</v>
      </c>
      <c r="R229" s="17">
        <v>8</v>
      </c>
      <c r="S229" s="13" t="s">
        <v>0</v>
      </c>
    </row>
    <row r="230" spans="1:19" x14ac:dyDescent="0.25">
      <c r="A230" s="13">
        <v>202618549</v>
      </c>
      <c r="B230" s="27" t="s">
        <v>311</v>
      </c>
      <c r="C230" s="28">
        <v>3</v>
      </c>
      <c r="D230" s="13">
        <v>681202</v>
      </c>
      <c r="E230" s="13" t="s">
        <v>2</v>
      </c>
      <c r="F230" s="13">
        <v>100</v>
      </c>
      <c r="G230" s="13">
        <v>100</v>
      </c>
      <c r="H230" s="13"/>
      <c r="I230" s="13"/>
      <c r="J230" s="13"/>
      <c r="K230" s="13">
        <v>100</v>
      </c>
      <c r="L230" s="24" t="s">
        <v>21</v>
      </c>
      <c r="M230" s="13" t="s">
        <v>54</v>
      </c>
      <c r="N230" s="13">
        <f>IFERROR(VLOOKUP($A:$A,[1]KION_IND_E_COM_LT!$A:$T,18,0),"")</f>
        <v>0</v>
      </c>
      <c r="O230" s="14">
        <v>1</v>
      </c>
      <c r="P230" s="15">
        <f t="shared" si="3"/>
        <v>100</v>
      </c>
      <c r="Q230" s="16">
        <v>44081</v>
      </c>
      <c r="R230" s="17">
        <v>8</v>
      </c>
      <c r="S230" s="13" t="s">
        <v>0</v>
      </c>
    </row>
    <row r="231" spans="1:19" x14ac:dyDescent="0.25">
      <c r="A231" s="13">
        <v>202618550</v>
      </c>
      <c r="B231" s="27" t="s">
        <v>311</v>
      </c>
      <c r="C231" s="28">
        <v>3</v>
      </c>
      <c r="D231" s="13">
        <v>681202</v>
      </c>
      <c r="E231" s="13" t="s">
        <v>2</v>
      </c>
      <c r="F231" s="13">
        <v>100</v>
      </c>
      <c r="G231" s="13">
        <v>100</v>
      </c>
      <c r="H231" s="13"/>
      <c r="I231" s="13"/>
      <c r="J231" s="13"/>
      <c r="K231" s="13">
        <v>100</v>
      </c>
      <c r="L231" s="24" t="s">
        <v>21</v>
      </c>
      <c r="M231" s="13" t="s">
        <v>54</v>
      </c>
      <c r="N231" s="13">
        <f>IFERROR(VLOOKUP($A:$A,[1]KION_IND_E_COM_LT!$A:$T,18,0),"")</f>
        <v>0</v>
      </c>
      <c r="O231" s="14">
        <v>1</v>
      </c>
      <c r="P231" s="15">
        <f t="shared" si="3"/>
        <v>100</v>
      </c>
      <c r="Q231" s="16">
        <v>44081</v>
      </c>
      <c r="R231" s="17">
        <v>8</v>
      </c>
      <c r="S231" s="13" t="s">
        <v>0</v>
      </c>
    </row>
    <row r="232" spans="1:19" x14ac:dyDescent="0.25">
      <c r="A232" s="13">
        <v>202618551</v>
      </c>
      <c r="B232" s="27" t="s">
        <v>311</v>
      </c>
      <c r="C232" s="28">
        <v>3</v>
      </c>
      <c r="D232" s="13">
        <v>681202</v>
      </c>
      <c r="E232" s="13" t="s">
        <v>2</v>
      </c>
      <c r="F232" s="13">
        <v>100</v>
      </c>
      <c r="G232" s="13">
        <v>100</v>
      </c>
      <c r="H232" s="13"/>
      <c r="I232" s="13"/>
      <c r="J232" s="13"/>
      <c r="K232" s="13">
        <v>100</v>
      </c>
      <c r="L232" s="24" t="s">
        <v>21</v>
      </c>
      <c r="M232" s="13" t="s">
        <v>54</v>
      </c>
      <c r="N232" s="13">
        <f>IFERROR(VLOOKUP($A:$A,[1]KION_IND_E_COM_LT!$A:$T,18,0),"")</f>
        <v>0</v>
      </c>
      <c r="O232" s="14">
        <v>1</v>
      </c>
      <c r="P232" s="15">
        <f t="shared" si="3"/>
        <v>100</v>
      </c>
      <c r="Q232" s="16">
        <v>44081</v>
      </c>
      <c r="R232" s="17">
        <v>8</v>
      </c>
      <c r="S232" s="13" t="s">
        <v>0</v>
      </c>
    </row>
    <row r="233" spans="1:19" x14ac:dyDescent="0.25">
      <c r="A233" s="13">
        <v>202618552</v>
      </c>
      <c r="B233" s="27" t="s">
        <v>311</v>
      </c>
      <c r="C233" s="28">
        <v>3</v>
      </c>
      <c r="D233" s="13">
        <v>681202</v>
      </c>
      <c r="E233" s="13" t="s">
        <v>2</v>
      </c>
      <c r="F233" s="13">
        <v>100</v>
      </c>
      <c r="G233" s="13">
        <v>100</v>
      </c>
      <c r="H233" s="13"/>
      <c r="I233" s="13"/>
      <c r="J233" s="13"/>
      <c r="K233" s="13">
        <v>100</v>
      </c>
      <c r="L233" s="24" t="s">
        <v>21</v>
      </c>
      <c r="M233" s="13" t="s">
        <v>54</v>
      </c>
      <c r="N233" s="13">
        <f>IFERROR(VLOOKUP($A:$A,[1]KION_IND_E_COM_LT!$A:$T,18,0),"")</f>
        <v>0</v>
      </c>
      <c r="O233" s="14">
        <v>1</v>
      </c>
      <c r="P233" s="15">
        <f t="shared" si="3"/>
        <v>100</v>
      </c>
      <c r="Q233" s="16">
        <v>44081</v>
      </c>
      <c r="R233" s="17">
        <v>8</v>
      </c>
      <c r="S233" s="13" t="s">
        <v>0</v>
      </c>
    </row>
    <row r="234" spans="1:19" x14ac:dyDescent="0.25">
      <c r="A234" s="13">
        <v>202618553</v>
      </c>
      <c r="B234" s="27" t="s">
        <v>311</v>
      </c>
      <c r="C234" s="28">
        <v>3</v>
      </c>
      <c r="D234" s="13">
        <v>681202</v>
      </c>
      <c r="E234" s="13" t="s">
        <v>2</v>
      </c>
      <c r="F234" s="13">
        <v>100</v>
      </c>
      <c r="G234" s="13">
        <v>100</v>
      </c>
      <c r="H234" s="13"/>
      <c r="I234" s="13"/>
      <c r="J234" s="13"/>
      <c r="K234" s="13">
        <v>100</v>
      </c>
      <c r="L234" s="24" t="s">
        <v>21</v>
      </c>
      <c r="M234" s="13" t="s">
        <v>54</v>
      </c>
      <c r="N234" s="13">
        <f>IFERROR(VLOOKUP($A:$A,[1]KION_IND_E_COM_LT!$A:$T,18,0),"")</f>
        <v>0</v>
      </c>
      <c r="O234" s="14">
        <v>1</v>
      </c>
      <c r="P234" s="15">
        <f t="shared" si="3"/>
        <v>100</v>
      </c>
      <c r="Q234" s="16" t="s">
        <v>3</v>
      </c>
      <c r="R234" s="17" t="s">
        <v>3</v>
      </c>
      <c r="S234" s="13" t="s">
        <v>0</v>
      </c>
    </row>
    <row r="235" spans="1:19" x14ac:dyDescent="0.25">
      <c r="A235" s="13">
        <v>202618554</v>
      </c>
      <c r="B235" s="27" t="s">
        <v>311</v>
      </c>
      <c r="C235" s="28">
        <v>3</v>
      </c>
      <c r="D235" s="13">
        <v>681202</v>
      </c>
      <c r="E235" s="13" t="s">
        <v>2</v>
      </c>
      <c r="F235" s="13">
        <v>100</v>
      </c>
      <c r="G235" s="13">
        <v>100</v>
      </c>
      <c r="H235" s="13"/>
      <c r="I235" s="13"/>
      <c r="J235" s="13"/>
      <c r="K235" s="13">
        <v>100</v>
      </c>
      <c r="L235" s="24" t="s">
        <v>21</v>
      </c>
      <c r="M235" s="13" t="s">
        <v>54</v>
      </c>
      <c r="N235" s="13">
        <f>IFERROR(VLOOKUP($A:$A,[1]KION_IND_E_COM_LT!$A:$T,18,0),"")</f>
        <v>0</v>
      </c>
      <c r="O235" s="14">
        <v>1</v>
      </c>
      <c r="P235" s="15">
        <f t="shared" si="3"/>
        <v>100</v>
      </c>
      <c r="Q235" s="16" t="s">
        <v>3</v>
      </c>
      <c r="R235" s="17" t="s">
        <v>3</v>
      </c>
      <c r="S235" s="13" t="s">
        <v>0</v>
      </c>
    </row>
    <row r="236" spans="1:19" x14ac:dyDescent="0.25">
      <c r="A236" s="13">
        <v>202618555</v>
      </c>
      <c r="B236" s="27" t="s">
        <v>311</v>
      </c>
      <c r="C236" s="28">
        <v>3</v>
      </c>
      <c r="D236" s="13">
        <v>681202</v>
      </c>
      <c r="E236" s="13" t="s">
        <v>2</v>
      </c>
      <c r="F236" s="13">
        <v>100</v>
      </c>
      <c r="G236" s="13">
        <v>100</v>
      </c>
      <c r="H236" s="13"/>
      <c r="I236" s="13"/>
      <c r="J236" s="13"/>
      <c r="K236" s="13">
        <v>100</v>
      </c>
      <c r="L236" s="24" t="s">
        <v>21</v>
      </c>
      <c r="M236" s="13" t="s">
        <v>54</v>
      </c>
      <c r="N236" s="13">
        <f>IFERROR(VLOOKUP($A:$A,[1]KION_IND_E_COM_LT!$A:$T,18,0),"")</f>
        <v>0</v>
      </c>
      <c r="O236" s="14">
        <v>1</v>
      </c>
      <c r="P236" s="15">
        <f t="shared" si="3"/>
        <v>100</v>
      </c>
      <c r="Q236" s="16" t="s">
        <v>3</v>
      </c>
      <c r="R236" s="17" t="s">
        <v>3</v>
      </c>
      <c r="S236" s="13" t="s">
        <v>0</v>
      </c>
    </row>
    <row r="237" spans="1:19" x14ac:dyDescent="0.25">
      <c r="A237" s="13">
        <v>202618556</v>
      </c>
      <c r="B237" s="27" t="s">
        <v>311</v>
      </c>
      <c r="C237" s="28">
        <v>3</v>
      </c>
      <c r="D237" s="13">
        <v>681202</v>
      </c>
      <c r="E237" s="13" t="s">
        <v>2</v>
      </c>
      <c r="F237" s="13">
        <v>100</v>
      </c>
      <c r="G237" s="13">
        <v>100</v>
      </c>
      <c r="H237" s="13"/>
      <c r="I237" s="13"/>
      <c r="J237" s="13"/>
      <c r="K237" s="13">
        <v>100</v>
      </c>
      <c r="L237" s="24" t="s">
        <v>21</v>
      </c>
      <c r="M237" s="13" t="s">
        <v>54</v>
      </c>
      <c r="N237" s="13">
        <f>IFERROR(VLOOKUP($A:$A,[1]KION_IND_E_COM_LT!$A:$T,18,0),"")</f>
        <v>0</v>
      </c>
      <c r="O237" s="14">
        <v>1</v>
      </c>
      <c r="P237" s="15">
        <f t="shared" si="3"/>
        <v>100</v>
      </c>
      <c r="Q237" s="16" t="s">
        <v>3</v>
      </c>
      <c r="R237" s="17" t="s">
        <v>3</v>
      </c>
      <c r="S237" s="13" t="s">
        <v>0</v>
      </c>
    </row>
    <row r="238" spans="1:19" x14ac:dyDescent="0.25">
      <c r="A238" s="13">
        <v>202618557</v>
      </c>
      <c r="B238" s="27" t="s">
        <v>311</v>
      </c>
      <c r="C238" s="28">
        <v>3</v>
      </c>
      <c r="D238" s="13">
        <v>681202</v>
      </c>
      <c r="E238" s="13" t="s">
        <v>2</v>
      </c>
      <c r="F238" s="13">
        <v>100</v>
      </c>
      <c r="G238" s="13">
        <v>100</v>
      </c>
      <c r="H238" s="13"/>
      <c r="I238" s="13"/>
      <c r="J238" s="13"/>
      <c r="K238" s="13">
        <v>100</v>
      </c>
      <c r="L238" s="24" t="s">
        <v>21</v>
      </c>
      <c r="M238" s="13" t="s">
        <v>54</v>
      </c>
      <c r="N238" s="13">
        <f>IFERROR(VLOOKUP($A:$A,[1]KION_IND_E_COM_LT!$A:$T,18,0),"")</f>
        <v>0</v>
      </c>
      <c r="O238" s="14">
        <v>1</v>
      </c>
      <c r="P238" s="15">
        <f t="shared" si="3"/>
        <v>100</v>
      </c>
      <c r="Q238" s="16" t="s">
        <v>3</v>
      </c>
      <c r="R238" s="17" t="s">
        <v>3</v>
      </c>
      <c r="S238" s="13" t="s">
        <v>0</v>
      </c>
    </row>
    <row r="239" spans="1:19" x14ac:dyDescent="0.25">
      <c r="A239" s="13">
        <v>203620102</v>
      </c>
      <c r="B239" s="27" t="s">
        <v>74</v>
      </c>
      <c r="C239" s="28">
        <v>0</v>
      </c>
      <c r="D239" s="13">
        <v>681202</v>
      </c>
      <c r="E239" s="13" t="s">
        <v>2</v>
      </c>
      <c r="F239" s="13">
        <v>100</v>
      </c>
      <c r="G239" s="13">
        <v>100</v>
      </c>
      <c r="H239" s="13"/>
      <c r="I239" s="13"/>
      <c r="J239" s="13">
        <v>100</v>
      </c>
      <c r="K239" s="13">
        <v>0</v>
      </c>
      <c r="L239" s="24" t="s">
        <v>21</v>
      </c>
      <c r="M239" s="13" t="s">
        <v>320</v>
      </c>
      <c r="N239" s="13">
        <f>IFERROR(VLOOKUP($A:$A,[1]KION_IND_E_COM_LT!$A:$T,18,0),"")</f>
        <v>0</v>
      </c>
      <c r="O239" s="14"/>
      <c r="P239" s="15">
        <f t="shared" si="3"/>
        <v>0</v>
      </c>
      <c r="Q239" s="16"/>
      <c r="R239" s="17">
        <v>6</v>
      </c>
      <c r="S239" s="13" t="s">
        <v>0</v>
      </c>
    </row>
    <row r="240" spans="1:19" x14ac:dyDescent="0.25">
      <c r="A240" s="13">
        <v>203620103</v>
      </c>
      <c r="B240" s="27" t="s">
        <v>74</v>
      </c>
      <c r="C240" s="28">
        <v>0</v>
      </c>
      <c r="D240" s="13">
        <v>681202</v>
      </c>
      <c r="E240" s="13" t="s">
        <v>2</v>
      </c>
      <c r="F240" s="13">
        <v>100</v>
      </c>
      <c r="G240" s="13">
        <v>100</v>
      </c>
      <c r="H240" s="13"/>
      <c r="I240" s="13"/>
      <c r="J240" s="13">
        <v>100</v>
      </c>
      <c r="K240" s="13">
        <v>0</v>
      </c>
      <c r="L240" s="24" t="s">
        <v>21</v>
      </c>
      <c r="M240" s="13" t="s">
        <v>320</v>
      </c>
      <c r="N240" s="13">
        <f>IFERROR(VLOOKUP($A:$A,[1]KION_IND_E_COM_LT!$A:$T,18,0),"")</f>
        <v>0</v>
      </c>
      <c r="O240" s="14"/>
      <c r="P240" s="15">
        <f t="shared" si="3"/>
        <v>0</v>
      </c>
      <c r="Q240" s="16"/>
      <c r="R240" s="17">
        <v>6</v>
      </c>
      <c r="S240" s="13" t="s">
        <v>0</v>
      </c>
    </row>
    <row r="241" spans="1:19" x14ac:dyDescent="0.25">
      <c r="A241" s="13">
        <v>203620106</v>
      </c>
      <c r="B241" s="27" t="s">
        <v>74</v>
      </c>
      <c r="C241" s="28">
        <v>0</v>
      </c>
      <c r="D241" s="13">
        <v>681202</v>
      </c>
      <c r="E241" s="13" t="s">
        <v>2</v>
      </c>
      <c r="F241" s="13">
        <v>100</v>
      </c>
      <c r="G241" s="13">
        <v>100</v>
      </c>
      <c r="H241" s="13"/>
      <c r="I241" s="13"/>
      <c r="J241" s="13">
        <v>100</v>
      </c>
      <c r="K241" s="13">
        <v>0</v>
      </c>
      <c r="L241" s="24" t="s">
        <v>21</v>
      </c>
      <c r="M241" s="13" t="s">
        <v>320</v>
      </c>
      <c r="N241" s="13">
        <f>IFERROR(VLOOKUP($A:$A,[1]KION_IND_E_COM_LT!$A:$T,18,0),"")</f>
        <v>0</v>
      </c>
      <c r="O241" s="14"/>
      <c r="P241" s="15">
        <f t="shared" si="3"/>
        <v>0</v>
      </c>
      <c r="Q241" s="16"/>
      <c r="R241" s="17">
        <v>6</v>
      </c>
      <c r="S241" s="13" t="s">
        <v>0</v>
      </c>
    </row>
    <row r="242" spans="1:19" x14ac:dyDescent="0.25">
      <c r="A242" s="13">
        <v>203620107</v>
      </c>
      <c r="B242" s="27" t="s">
        <v>74</v>
      </c>
      <c r="C242" s="28">
        <v>0</v>
      </c>
      <c r="D242" s="13">
        <v>681202</v>
      </c>
      <c r="E242" s="13" t="s">
        <v>2</v>
      </c>
      <c r="F242" s="13">
        <v>100</v>
      </c>
      <c r="G242" s="13">
        <v>100</v>
      </c>
      <c r="H242" s="13"/>
      <c r="I242" s="13">
        <v>100</v>
      </c>
      <c r="J242" s="13"/>
      <c r="K242" s="13">
        <v>0</v>
      </c>
      <c r="L242" s="24" t="s">
        <v>21</v>
      </c>
      <c r="M242" s="13" t="s">
        <v>320</v>
      </c>
      <c r="N242" s="13">
        <f>IFERROR(VLOOKUP($A:$A,[1]KION_IND_E_COM_LT!$A:$T,18,0),"")</f>
        <v>0</v>
      </c>
      <c r="O242" s="14"/>
      <c r="P242" s="15">
        <f t="shared" si="3"/>
        <v>0</v>
      </c>
      <c r="Q242" s="16"/>
      <c r="R242" s="17">
        <v>6</v>
      </c>
      <c r="S242" s="13" t="s">
        <v>0</v>
      </c>
    </row>
    <row r="243" spans="1:19" x14ac:dyDescent="0.25">
      <c r="A243" s="13">
        <v>203620108</v>
      </c>
      <c r="B243" s="27" t="s">
        <v>74</v>
      </c>
      <c r="C243" s="28">
        <v>0</v>
      </c>
      <c r="D243" s="13">
        <v>681202</v>
      </c>
      <c r="E243" s="13" t="s">
        <v>2</v>
      </c>
      <c r="F243" s="13">
        <v>100</v>
      </c>
      <c r="G243" s="13">
        <v>100</v>
      </c>
      <c r="H243" s="13"/>
      <c r="I243" s="13">
        <v>100</v>
      </c>
      <c r="J243" s="13"/>
      <c r="K243" s="13">
        <v>0</v>
      </c>
      <c r="L243" s="24" t="s">
        <v>21</v>
      </c>
      <c r="M243" s="13" t="s">
        <v>320</v>
      </c>
      <c r="N243" s="13">
        <f>IFERROR(VLOOKUP($A:$A,[1]KION_IND_E_COM_LT!$A:$T,18,0),"")</f>
        <v>0</v>
      </c>
      <c r="O243" s="14"/>
      <c r="P243" s="15">
        <f t="shared" si="3"/>
        <v>0</v>
      </c>
      <c r="Q243" s="16"/>
      <c r="R243" s="17">
        <v>6</v>
      </c>
      <c r="S243" s="13" t="s">
        <v>0</v>
      </c>
    </row>
    <row r="244" spans="1:19" x14ac:dyDescent="0.25">
      <c r="A244" s="13">
        <v>203620109</v>
      </c>
      <c r="B244" s="27" t="s">
        <v>74</v>
      </c>
      <c r="C244" s="28">
        <v>0</v>
      </c>
      <c r="D244" s="13">
        <v>681202</v>
      </c>
      <c r="E244" s="13" t="s">
        <v>2</v>
      </c>
      <c r="F244" s="13">
        <v>100</v>
      </c>
      <c r="G244" s="13">
        <v>100</v>
      </c>
      <c r="H244" s="13"/>
      <c r="I244" s="13"/>
      <c r="J244" s="13"/>
      <c r="K244" s="13">
        <v>100</v>
      </c>
      <c r="L244" s="22" t="s">
        <v>21</v>
      </c>
      <c r="M244" s="26" t="s">
        <v>27</v>
      </c>
      <c r="N244" s="13">
        <f>IFERROR(VLOOKUP($A:$A,[1]KION_IND_E_COM_LT!$A:$T,18,0),"")</f>
        <v>0</v>
      </c>
      <c r="O244" s="14">
        <v>1</v>
      </c>
      <c r="P244" s="15">
        <f t="shared" si="3"/>
        <v>100</v>
      </c>
      <c r="Q244" s="16">
        <v>44067</v>
      </c>
      <c r="R244" s="17">
        <v>6</v>
      </c>
      <c r="S244" s="13" t="s">
        <v>0</v>
      </c>
    </row>
    <row r="245" spans="1:19" x14ac:dyDescent="0.25">
      <c r="A245" s="13">
        <v>203620110</v>
      </c>
      <c r="B245" s="27" t="s">
        <v>74</v>
      </c>
      <c r="C245" s="28">
        <v>0</v>
      </c>
      <c r="D245" s="13">
        <v>681202</v>
      </c>
      <c r="E245" s="13" t="s">
        <v>2</v>
      </c>
      <c r="F245" s="13">
        <v>100</v>
      </c>
      <c r="G245" s="13">
        <v>100</v>
      </c>
      <c r="H245" s="13"/>
      <c r="I245" s="13"/>
      <c r="J245" s="13"/>
      <c r="K245" s="13">
        <v>100</v>
      </c>
      <c r="L245" s="23"/>
      <c r="M245" s="13" t="s">
        <v>23</v>
      </c>
      <c r="N245" s="13">
        <f>IFERROR(VLOOKUP($A:$A,[1]KION_IND_E_COM_LT!$A:$T,18,0),"")</f>
        <v>0</v>
      </c>
      <c r="O245" s="14">
        <v>1</v>
      </c>
      <c r="P245" s="15">
        <f t="shared" si="3"/>
        <v>100</v>
      </c>
      <c r="Q245" s="16">
        <v>44081</v>
      </c>
      <c r="R245" s="17">
        <v>8</v>
      </c>
      <c r="S245" s="13" t="s">
        <v>0</v>
      </c>
    </row>
    <row r="246" spans="1:19" x14ac:dyDescent="0.25">
      <c r="A246" s="13">
        <v>203620111</v>
      </c>
      <c r="B246" s="27" t="s">
        <v>74</v>
      </c>
      <c r="C246" s="28">
        <v>0</v>
      </c>
      <c r="D246" s="13">
        <v>681202</v>
      </c>
      <c r="E246" s="13" t="s">
        <v>2</v>
      </c>
      <c r="F246" s="13">
        <v>100</v>
      </c>
      <c r="G246" s="13">
        <v>100</v>
      </c>
      <c r="H246" s="13"/>
      <c r="I246" s="13"/>
      <c r="J246" s="13"/>
      <c r="K246" s="13">
        <v>100</v>
      </c>
      <c r="L246" s="23"/>
      <c r="M246" s="13" t="s">
        <v>23</v>
      </c>
      <c r="N246" s="13">
        <f>IFERROR(VLOOKUP($A:$A,[1]KION_IND_E_COM_LT!$A:$T,18,0),"")</f>
        <v>0</v>
      </c>
      <c r="O246" s="14">
        <v>1</v>
      </c>
      <c r="P246" s="15">
        <f t="shared" si="3"/>
        <v>100</v>
      </c>
      <c r="Q246" s="16">
        <v>44081</v>
      </c>
      <c r="R246" s="17">
        <v>8</v>
      </c>
      <c r="S246" s="13" t="s">
        <v>0</v>
      </c>
    </row>
    <row r="247" spans="1:19" x14ac:dyDescent="0.25">
      <c r="A247" s="13">
        <v>928475001</v>
      </c>
      <c r="B247" s="27" t="s">
        <v>215</v>
      </c>
      <c r="C247" s="28">
        <v>1</v>
      </c>
      <c r="D247" s="13">
        <v>379242</v>
      </c>
      <c r="E247" s="13"/>
      <c r="F247" s="13">
        <v>320</v>
      </c>
      <c r="G247" s="13">
        <v>320</v>
      </c>
      <c r="H247" s="13"/>
      <c r="I247" s="13"/>
      <c r="J247" s="13"/>
      <c r="K247" s="13">
        <v>320</v>
      </c>
      <c r="L247" s="23"/>
      <c r="M247" s="13"/>
      <c r="N247" s="13">
        <f>IFERROR(VLOOKUP($A:$A,[1]KION_IND_E_COM_LT!$A:$T,18,0),"")</f>
        <v>0</v>
      </c>
      <c r="O247" s="14">
        <v>1</v>
      </c>
      <c r="P247" s="15">
        <f t="shared" si="3"/>
        <v>320</v>
      </c>
      <c r="Q247" s="16" t="s">
        <v>3</v>
      </c>
      <c r="R247" s="17" t="s">
        <v>3</v>
      </c>
      <c r="S247" s="13" t="s">
        <v>0</v>
      </c>
    </row>
    <row r="248" spans="1:19" x14ac:dyDescent="0.25">
      <c r="A248" s="13">
        <v>928476001</v>
      </c>
      <c r="B248" s="27" t="s">
        <v>220</v>
      </c>
      <c r="C248" s="28">
        <v>0</v>
      </c>
      <c r="D248" s="13">
        <v>379242</v>
      </c>
      <c r="E248" s="13"/>
      <c r="F248" s="13">
        <v>320</v>
      </c>
      <c r="G248" s="13">
        <v>320</v>
      </c>
      <c r="H248" s="13"/>
      <c r="I248" s="13"/>
      <c r="J248" s="13"/>
      <c r="K248" s="13">
        <v>320</v>
      </c>
      <c r="L248" s="23"/>
      <c r="M248" s="13"/>
      <c r="N248" s="13">
        <f>IFERROR(VLOOKUP($A:$A,[1]KION_IND_E_COM_LT!$A:$T,18,0),"")</f>
        <v>0</v>
      </c>
      <c r="O248" s="14">
        <v>1</v>
      </c>
      <c r="P248" s="15">
        <f t="shared" si="3"/>
        <v>320</v>
      </c>
      <c r="Q248" s="16" t="s">
        <v>3</v>
      </c>
      <c r="R248" s="17" t="s">
        <v>3</v>
      </c>
      <c r="S248" s="13" t="s">
        <v>0</v>
      </c>
    </row>
    <row r="249" spans="1:19" x14ac:dyDescent="0.25">
      <c r="A249" s="13">
        <v>928502001</v>
      </c>
      <c r="B249" s="27" t="s">
        <v>122</v>
      </c>
      <c r="C249" s="28">
        <v>0</v>
      </c>
      <c r="D249" s="13">
        <v>379242</v>
      </c>
      <c r="E249" s="13"/>
      <c r="F249" s="13">
        <v>320</v>
      </c>
      <c r="G249" s="13">
        <v>320</v>
      </c>
      <c r="H249" s="13"/>
      <c r="I249" s="13"/>
      <c r="J249" s="13"/>
      <c r="K249" s="13">
        <v>320</v>
      </c>
      <c r="L249" s="24" t="s">
        <v>21</v>
      </c>
      <c r="M249" s="13" t="s">
        <v>33</v>
      </c>
      <c r="N249" s="13">
        <f>IFERROR(VLOOKUP($A:$A,[1]KION_IND_E_COM_LT!$A:$T,18,0),"")</f>
        <v>0</v>
      </c>
      <c r="O249" s="14">
        <v>1</v>
      </c>
      <c r="P249" s="15">
        <f t="shared" si="3"/>
        <v>320</v>
      </c>
      <c r="Q249" s="16" t="s">
        <v>3</v>
      </c>
      <c r="R249" s="17" t="s">
        <v>3</v>
      </c>
      <c r="S249" s="13" t="s">
        <v>0</v>
      </c>
    </row>
    <row r="250" spans="1:19" x14ac:dyDescent="0.25">
      <c r="A250" s="13">
        <v>929494001</v>
      </c>
      <c r="B250" s="27" t="s">
        <v>189</v>
      </c>
      <c r="C250" s="28">
        <v>0</v>
      </c>
      <c r="D250" s="13">
        <v>379466</v>
      </c>
      <c r="E250" s="13"/>
      <c r="F250" s="13">
        <v>200</v>
      </c>
      <c r="G250" s="13">
        <v>200</v>
      </c>
      <c r="H250" s="13"/>
      <c r="I250" s="13"/>
      <c r="J250" s="13"/>
      <c r="K250" s="13">
        <v>200</v>
      </c>
      <c r="L250" s="23"/>
      <c r="M250" s="13" t="s">
        <v>34</v>
      </c>
      <c r="N250" s="13">
        <f>IFERROR(VLOOKUP($A:$A,[1]KION_IND_E_COM_LT!$A:$T,18,0),"")</f>
        <v>0</v>
      </c>
      <c r="O250" s="14">
        <v>1</v>
      </c>
      <c r="P250" s="15">
        <f t="shared" si="3"/>
        <v>200</v>
      </c>
      <c r="Q250" s="16" t="s">
        <v>3</v>
      </c>
      <c r="R250" s="17" t="s">
        <v>3</v>
      </c>
      <c r="S250" s="13" t="s">
        <v>0</v>
      </c>
    </row>
    <row r="251" spans="1:19" x14ac:dyDescent="0.25">
      <c r="A251" s="13">
        <v>937937001</v>
      </c>
      <c r="B251" s="27" t="s">
        <v>86</v>
      </c>
      <c r="C251" s="28">
        <v>1</v>
      </c>
      <c r="D251" s="13">
        <v>381453</v>
      </c>
      <c r="E251" s="13"/>
      <c r="F251" s="13">
        <v>20</v>
      </c>
      <c r="G251" s="13">
        <v>5</v>
      </c>
      <c r="H251" s="13"/>
      <c r="I251" s="13"/>
      <c r="J251" s="13"/>
      <c r="K251" s="13">
        <v>5</v>
      </c>
      <c r="L251" s="24" t="s">
        <v>21</v>
      </c>
      <c r="M251" s="13"/>
      <c r="N251" s="13">
        <f>IFERROR(VLOOKUP($A:$A,[1]KION_IND_E_COM_LT!$A:$T,18,0),"")</f>
        <v>0</v>
      </c>
      <c r="O251" s="14">
        <v>1</v>
      </c>
      <c r="P251" s="15">
        <f t="shared" si="3"/>
        <v>5</v>
      </c>
      <c r="Q251" s="16"/>
      <c r="R251" s="17" t="s">
        <v>5</v>
      </c>
      <c r="S251" s="13" t="s">
        <v>0</v>
      </c>
    </row>
    <row r="252" spans="1:19" x14ac:dyDescent="0.25">
      <c r="A252" s="13">
        <v>937990001</v>
      </c>
      <c r="B252" s="27" t="s">
        <v>115</v>
      </c>
      <c r="C252" s="28">
        <v>0</v>
      </c>
      <c r="D252" s="13">
        <v>381453</v>
      </c>
      <c r="E252" s="13"/>
      <c r="F252" s="13">
        <v>142</v>
      </c>
      <c r="G252" s="13">
        <v>2</v>
      </c>
      <c r="H252" s="13"/>
      <c r="I252" s="13"/>
      <c r="J252" s="13"/>
      <c r="K252" s="13">
        <v>2</v>
      </c>
      <c r="L252" s="23"/>
      <c r="M252" s="13"/>
      <c r="N252" s="13">
        <f>IFERROR(VLOOKUP($A:$A,[1]KION_IND_E_COM_LT!$A:$T,18,0),"")</f>
        <v>0</v>
      </c>
      <c r="O252" s="14">
        <v>1</v>
      </c>
      <c r="P252" s="15">
        <f t="shared" si="3"/>
        <v>2</v>
      </c>
      <c r="Q252" s="16"/>
      <c r="R252" s="17" t="s">
        <v>5</v>
      </c>
      <c r="S252" s="13" t="s">
        <v>0</v>
      </c>
    </row>
    <row r="253" spans="1:19" x14ac:dyDescent="0.25">
      <c r="A253" s="13">
        <v>940332001</v>
      </c>
      <c r="B253" s="27" t="s">
        <v>184</v>
      </c>
      <c r="C253" s="28">
        <v>0</v>
      </c>
      <c r="D253" s="13">
        <v>382020</v>
      </c>
      <c r="E253" s="13"/>
      <c r="F253" s="13">
        <v>100</v>
      </c>
      <c r="G253" s="13">
        <v>1</v>
      </c>
      <c r="H253" s="13"/>
      <c r="I253" s="13"/>
      <c r="J253" s="13"/>
      <c r="K253" s="13">
        <v>1</v>
      </c>
      <c r="L253" s="24" t="s">
        <v>21</v>
      </c>
      <c r="M253" s="13" t="s">
        <v>33</v>
      </c>
      <c r="N253" s="13">
        <f>IFERROR(VLOOKUP($A:$A,[1]KION_IND_E_COM_LT!$A:$T,18,0),"")</f>
        <v>0</v>
      </c>
      <c r="O253" s="14">
        <v>1</v>
      </c>
      <c r="P253" s="15">
        <f t="shared" si="3"/>
        <v>1</v>
      </c>
      <c r="Q253" s="16"/>
      <c r="R253" s="17" t="s">
        <v>5</v>
      </c>
      <c r="S253" s="13" t="s">
        <v>0</v>
      </c>
    </row>
    <row r="254" spans="1:19" x14ac:dyDescent="0.25">
      <c r="A254" s="13">
        <v>940352001</v>
      </c>
      <c r="B254" s="27" t="s">
        <v>105</v>
      </c>
      <c r="C254" s="28">
        <v>4</v>
      </c>
      <c r="D254" s="13">
        <v>382020</v>
      </c>
      <c r="E254" s="13"/>
      <c r="F254" s="13">
        <v>50</v>
      </c>
      <c r="G254" s="13">
        <v>50</v>
      </c>
      <c r="H254" s="13"/>
      <c r="I254" s="13"/>
      <c r="J254" s="13"/>
      <c r="K254" s="13">
        <v>50</v>
      </c>
      <c r="L254" s="23"/>
      <c r="M254" s="13"/>
      <c r="N254" s="13">
        <f>IFERROR(VLOOKUP($A:$A,[1]KION_IND_E_COM_LT!$A:$T,18,0),"")</f>
        <v>0</v>
      </c>
      <c r="O254" s="14">
        <v>1</v>
      </c>
      <c r="P254" s="15">
        <f t="shared" si="3"/>
        <v>50</v>
      </c>
      <c r="Q254" s="16" t="s">
        <v>3</v>
      </c>
      <c r="R254" s="17" t="s">
        <v>3</v>
      </c>
      <c r="S254" s="13" t="s">
        <v>0</v>
      </c>
    </row>
    <row r="255" spans="1:19" x14ac:dyDescent="0.25">
      <c r="A255" s="13">
        <v>940388001</v>
      </c>
      <c r="B255" s="27" t="s">
        <v>200</v>
      </c>
      <c r="C255" s="28">
        <v>0</v>
      </c>
      <c r="D255" s="13">
        <v>382022</v>
      </c>
      <c r="E255" s="13"/>
      <c r="F255" s="13">
        <v>60</v>
      </c>
      <c r="G255" s="13">
        <v>1</v>
      </c>
      <c r="H255" s="13"/>
      <c r="I255" s="13"/>
      <c r="J255" s="13"/>
      <c r="K255" s="13">
        <v>1</v>
      </c>
      <c r="L255" s="24" t="s">
        <v>21</v>
      </c>
      <c r="M255" s="13" t="s">
        <v>33</v>
      </c>
      <c r="N255" s="13">
        <f>IFERROR(VLOOKUP($A:$A,[1]KION_IND_E_COM_LT!$A:$T,18,0),"")</f>
        <v>0</v>
      </c>
      <c r="O255" s="14">
        <v>1</v>
      </c>
      <c r="P255" s="15">
        <f t="shared" si="3"/>
        <v>1</v>
      </c>
      <c r="Q255" s="16"/>
      <c r="R255" s="17" t="s">
        <v>5</v>
      </c>
      <c r="S255" s="13" t="s">
        <v>0</v>
      </c>
    </row>
    <row r="256" spans="1:19" x14ac:dyDescent="0.25">
      <c r="A256" s="13">
        <v>940650001</v>
      </c>
      <c r="B256" s="27" t="s">
        <v>211</v>
      </c>
      <c r="C256" s="28">
        <v>0</v>
      </c>
      <c r="D256" s="13">
        <v>382020</v>
      </c>
      <c r="E256" s="13"/>
      <c r="F256" s="13">
        <v>50</v>
      </c>
      <c r="G256" s="13">
        <v>2</v>
      </c>
      <c r="H256" s="13"/>
      <c r="I256" s="13"/>
      <c r="J256" s="13"/>
      <c r="K256" s="13">
        <v>2</v>
      </c>
      <c r="L256" s="23"/>
      <c r="M256" s="13"/>
      <c r="N256" s="13">
        <f>IFERROR(VLOOKUP($A:$A,[1]KION_IND_E_COM_LT!$A:$T,18,0),"")</f>
        <v>0</v>
      </c>
      <c r="O256" s="14">
        <v>1</v>
      </c>
      <c r="P256" s="15">
        <f t="shared" si="3"/>
        <v>2</v>
      </c>
      <c r="Q256" s="16"/>
      <c r="R256" s="17" t="s">
        <v>5</v>
      </c>
      <c r="S256" s="13" t="s">
        <v>0</v>
      </c>
    </row>
    <row r="257" spans="1:19" x14ac:dyDescent="0.25">
      <c r="A257" s="13">
        <v>943221001</v>
      </c>
      <c r="B257" s="27" t="s">
        <v>296</v>
      </c>
      <c r="C257" s="28">
        <v>0</v>
      </c>
      <c r="D257" s="13">
        <v>382534</v>
      </c>
      <c r="E257" s="13"/>
      <c r="F257" s="13">
        <v>150</v>
      </c>
      <c r="G257" s="13">
        <v>1</v>
      </c>
      <c r="H257" s="13"/>
      <c r="I257" s="13"/>
      <c r="J257" s="13"/>
      <c r="K257" s="13">
        <v>1</v>
      </c>
      <c r="L257" s="24" t="s">
        <v>21</v>
      </c>
      <c r="M257" s="13" t="s">
        <v>47</v>
      </c>
      <c r="N257" s="13">
        <f>IFERROR(VLOOKUP($A:$A,[1]KION_IND_E_COM_LT!$A:$T,18,0),"")</f>
        <v>0</v>
      </c>
      <c r="O257" s="14">
        <v>1</v>
      </c>
      <c r="P257" s="15">
        <f t="shared" si="3"/>
        <v>1</v>
      </c>
      <c r="Q257" s="16" t="s">
        <v>3</v>
      </c>
      <c r="R257" s="17" t="s">
        <v>3</v>
      </c>
      <c r="S257" s="13" t="s">
        <v>0</v>
      </c>
    </row>
    <row r="258" spans="1:19" x14ac:dyDescent="0.25">
      <c r="A258" s="13">
        <v>947123001</v>
      </c>
      <c r="B258" s="27" t="s">
        <v>265</v>
      </c>
      <c r="C258" s="28">
        <v>0</v>
      </c>
      <c r="D258" s="13">
        <v>383470</v>
      </c>
      <c r="E258" s="13"/>
      <c r="F258" s="13">
        <v>2</v>
      </c>
      <c r="G258" s="13">
        <v>2</v>
      </c>
      <c r="H258" s="13"/>
      <c r="I258" s="13"/>
      <c r="J258" s="13"/>
      <c r="K258" s="13">
        <v>2</v>
      </c>
      <c r="L258" s="23"/>
      <c r="M258" s="13" t="s">
        <v>40</v>
      </c>
      <c r="N258" s="13">
        <f>IFERROR(VLOOKUP($A:$A,[1]KION_IND_E_COM_LT!$A:$T,18,0),"")</f>
        <v>0</v>
      </c>
      <c r="O258" s="14">
        <v>1</v>
      </c>
      <c r="P258" s="15">
        <f t="shared" si="3"/>
        <v>2</v>
      </c>
      <c r="Q258" s="16"/>
      <c r="R258" s="17" t="s">
        <v>5</v>
      </c>
      <c r="S258" s="13" t="s">
        <v>0</v>
      </c>
    </row>
    <row r="259" spans="1:19" x14ac:dyDescent="0.25">
      <c r="A259" s="13">
        <v>947582001</v>
      </c>
      <c r="B259" s="27" t="s">
        <v>134</v>
      </c>
      <c r="C259" s="28">
        <v>0</v>
      </c>
      <c r="D259" s="13">
        <v>383470</v>
      </c>
      <c r="E259" s="13"/>
      <c r="F259" s="13">
        <v>20</v>
      </c>
      <c r="G259" s="13">
        <v>2</v>
      </c>
      <c r="H259" s="13"/>
      <c r="I259" s="13"/>
      <c r="J259" s="13">
        <v>2</v>
      </c>
      <c r="K259" s="13">
        <v>0</v>
      </c>
      <c r="L259" s="22" t="s">
        <v>21</v>
      </c>
      <c r="M259" s="13" t="s">
        <v>33</v>
      </c>
      <c r="N259" s="13">
        <f>IFERROR(VLOOKUP($A:$A,[1]KION_IND_E_COM_LT!$A:$T,18,0),"")</f>
        <v>0</v>
      </c>
      <c r="O259" s="14"/>
      <c r="P259" s="15">
        <f t="shared" ref="P259:P322" si="4">K259*O259</f>
        <v>0</v>
      </c>
      <c r="Q259" s="16" t="s">
        <v>4</v>
      </c>
      <c r="R259" s="17">
        <v>3</v>
      </c>
      <c r="S259" s="13" t="s">
        <v>0</v>
      </c>
    </row>
    <row r="260" spans="1:19" x14ac:dyDescent="0.25">
      <c r="A260" s="13">
        <v>948723001</v>
      </c>
      <c r="B260" s="27" t="s">
        <v>129</v>
      </c>
      <c r="C260" s="28">
        <v>1</v>
      </c>
      <c r="D260" s="13">
        <v>383891</v>
      </c>
      <c r="E260" s="13"/>
      <c r="F260" s="13">
        <v>20</v>
      </c>
      <c r="G260" s="13">
        <v>20</v>
      </c>
      <c r="H260" s="13"/>
      <c r="I260" s="13"/>
      <c r="J260" s="13"/>
      <c r="K260" s="13">
        <v>20</v>
      </c>
      <c r="L260" s="23"/>
      <c r="M260" s="13"/>
      <c r="N260" s="13">
        <f>IFERROR(VLOOKUP($A:$A,[1]KION_IND_E_COM_LT!$A:$T,18,0),"")</f>
        <v>0</v>
      </c>
      <c r="O260" s="14">
        <v>1</v>
      </c>
      <c r="P260" s="15">
        <f t="shared" si="4"/>
        <v>20</v>
      </c>
      <c r="Q260" s="16"/>
      <c r="R260" s="17" t="s">
        <v>5</v>
      </c>
      <c r="S260" s="13" t="s">
        <v>0</v>
      </c>
    </row>
    <row r="261" spans="1:19" x14ac:dyDescent="0.25">
      <c r="A261" s="13">
        <v>948725001</v>
      </c>
      <c r="B261" s="27" t="s">
        <v>173</v>
      </c>
      <c r="C261" s="28">
        <v>0</v>
      </c>
      <c r="D261" s="13">
        <v>383673</v>
      </c>
      <c r="E261" s="13"/>
      <c r="F261" s="13">
        <v>20</v>
      </c>
      <c r="G261" s="13">
        <v>20</v>
      </c>
      <c r="H261" s="13"/>
      <c r="I261" s="13"/>
      <c r="J261" s="13"/>
      <c r="K261" s="13">
        <v>20</v>
      </c>
      <c r="L261" s="24" t="s">
        <v>21</v>
      </c>
      <c r="M261" s="13" t="s">
        <v>33</v>
      </c>
      <c r="N261" s="13">
        <f>IFERROR(VLOOKUP($A:$A,[1]KION_IND_E_COM_LT!$A:$T,18,0),"")</f>
        <v>0</v>
      </c>
      <c r="O261" s="14">
        <v>1</v>
      </c>
      <c r="P261" s="15">
        <f t="shared" si="4"/>
        <v>20</v>
      </c>
      <c r="Q261" s="16"/>
      <c r="R261" s="17" t="s">
        <v>5</v>
      </c>
      <c r="S261" s="13" t="s">
        <v>0</v>
      </c>
    </row>
    <row r="262" spans="1:19" x14ac:dyDescent="0.25">
      <c r="A262" s="13">
        <v>949265001</v>
      </c>
      <c r="B262" s="27" t="s">
        <v>230</v>
      </c>
      <c r="C262" s="28">
        <v>0</v>
      </c>
      <c r="D262" s="13">
        <v>383891</v>
      </c>
      <c r="E262" s="13"/>
      <c r="F262" s="13">
        <v>12</v>
      </c>
      <c r="G262" s="13">
        <v>12</v>
      </c>
      <c r="H262" s="13"/>
      <c r="I262" s="13"/>
      <c r="J262" s="13"/>
      <c r="K262" s="13">
        <v>12</v>
      </c>
      <c r="L262" s="23"/>
      <c r="M262" s="13"/>
      <c r="N262" s="13">
        <f>IFERROR(VLOOKUP($A:$A,[1]KION_IND_E_COM_LT!$A:$T,18,0),"")</f>
        <v>0</v>
      </c>
      <c r="O262" s="14">
        <v>1</v>
      </c>
      <c r="P262" s="15">
        <f t="shared" si="4"/>
        <v>12</v>
      </c>
      <c r="Q262" s="16"/>
      <c r="R262" s="17" t="s">
        <v>5</v>
      </c>
      <c r="S262" s="13" t="s">
        <v>0</v>
      </c>
    </row>
    <row r="263" spans="1:19" x14ac:dyDescent="0.25">
      <c r="A263" s="13">
        <v>951426001</v>
      </c>
      <c r="B263" s="27" t="s">
        <v>126</v>
      </c>
      <c r="C263" s="28">
        <v>1</v>
      </c>
      <c r="D263" s="13">
        <v>384142</v>
      </c>
      <c r="E263" s="13"/>
      <c r="F263" s="13">
        <v>120</v>
      </c>
      <c r="G263" s="13">
        <v>10</v>
      </c>
      <c r="H263" s="13"/>
      <c r="I263" s="13">
        <v>10</v>
      </c>
      <c r="J263" s="13"/>
      <c r="K263" s="13">
        <v>0</v>
      </c>
      <c r="L263" s="24" t="s">
        <v>21</v>
      </c>
      <c r="M263" s="13" t="s">
        <v>33</v>
      </c>
      <c r="N263" s="13">
        <f>IFERROR(VLOOKUP($A:$A,[1]KION_IND_E_COM_LT!$A:$T,18,0),"")</f>
        <v>0</v>
      </c>
      <c r="O263" s="14"/>
      <c r="P263" s="15">
        <f t="shared" si="4"/>
        <v>0</v>
      </c>
      <c r="Q263" s="16"/>
      <c r="R263" s="17">
        <v>6</v>
      </c>
      <c r="S263" s="13" t="s">
        <v>0</v>
      </c>
    </row>
    <row r="264" spans="1:19" x14ac:dyDescent="0.25">
      <c r="A264" s="13">
        <v>954584001</v>
      </c>
      <c r="B264" s="27" t="s">
        <v>149</v>
      </c>
      <c r="C264" s="28">
        <v>0</v>
      </c>
      <c r="D264" s="13">
        <v>384819</v>
      </c>
      <c r="E264" s="13"/>
      <c r="F264" s="13">
        <v>145</v>
      </c>
      <c r="G264" s="13">
        <v>2</v>
      </c>
      <c r="H264" s="13"/>
      <c r="I264" s="13"/>
      <c r="J264" s="13"/>
      <c r="K264" s="13">
        <v>2</v>
      </c>
      <c r="L264" s="23"/>
      <c r="M264" s="13"/>
      <c r="N264" s="13">
        <f>IFERROR(VLOOKUP($A:$A,[1]KION_IND_E_COM_LT!$A:$T,18,0),"")</f>
        <v>0</v>
      </c>
      <c r="O264" s="14">
        <v>1</v>
      </c>
      <c r="P264" s="15">
        <f t="shared" si="4"/>
        <v>2</v>
      </c>
      <c r="Q264" s="16"/>
      <c r="R264" s="17" t="s">
        <v>5</v>
      </c>
      <c r="S264" s="13" t="s">
        <v>0</v>
      </c>
    </row>
    <row r="265" spans="1:19" x14ac:dyDescent="0.25">
      <c r="A265" s="13">
        <v>955315002</v>
      </c>
      <c r="B265" s="27" t="s">
        <v>128</v>
      </c>
      <c r="C265" s="28">
        <v>0</v>
      </c>
      <c r="D265" s="13">
        <v>384963</v>
      </c>
      <c r="E265" s="13"/>
      <c r="F265" s="13">
        <v>250</v>
      </c>
      <c r="G265" s="13">
        <v>1</v>
      </c>
      <c r="H265" s="13"/>
      <c r="I265" s="13"/>
      <c r="J265" s="13"/>
      <c r="K265" s="13">
        <v>1</v>
      </c>
      <c r="L265" s="23"/>
      <c r="M265" s="13"/>
      <c r="N265" s="13">
        <f>IFERROR(VLOOKUP($A:$A,[1]KION_IND_E_COM_LT!$A:$T,18,0),"")</f>
        <v>0</v>
      </c>
      <c r="O265" s="14">
        <v>1</v>
      </c>
      <c r="P265" s="15">
        <f t="shared" si="4"/>
        <v>1</v>
      </c>
      <c r="Q265" s="16"/>
      <c r="R265" s="17" t="s">
        <v>5</v>
      </c>
      <c r="S265" s="13" t="s">
        <v>0</v>
      </c>
    </row>
    <row r="266" spans="1:19" x14ac:dyDescent="0.25">
      <c r="A266" s="13">
        <v>961231002</v>
      </c>
      <c r="B266" s="27" t="s">
        <v>116</v>
      </c>
      <c r="C266" s="28">
        <v>4</v>
      </c>
      <c r="D266" s="13">
        <v>385955</v>
      </c>
      <c r="E266" s="13"/>
      <c r="F266" s="13">
        <v>110</v>
      </c>
      <c r="G266" s="13">
        <v>2</v>
      </c>
      <c r="H266" s="13"/>
      <c r="I266" s="13"/>
      <c r="J266" s="13"/>
      <c r="K266" s="13">
        <v>2</v>
      </c>
      <c r="L266" s="22" t="s">
        <v>21</v>
      </c>
      <c r="M266" s="22" t="s">
        <v>60</v>
      </c>
      <c r="N266" s="13">
        <f>IFERROR(VLOOKUP($A:$A,[1]KION_IND_E_COM_LT!$A:$T,18,0),"")</f>
        <v>0</v>
      </c>
      <c r="O266" s="14">
        <v>1</v>
      </c>
      <c r="P266" s="15">
        <f t="shared" si="4"/>
        <v>2</v>
      </c>
      <c r="Q266" s="16" t="s">
        <v>3</v>
      </c>
      <c r="R266" s="17" t="s">
        <v>3</v>
      </c>
      <c r="S266" s="13" t="s">
        <v>0</v>
      </c>
    </row>
    <row r="267" spans="1:19" x14ac:dyDescent="0.25">
      <c r="A267" s="13">
        <v>963313001</v>
      </c>
      <c r="B267" s="27" t="s">
        <v>91</v>
      </c>
      <c r="C267" s="28">
        <v>1</v>
      </c>
      <c r="D267" s="13">
        <v>386446</v>
      </c>
      <c r="E267" s="13"/>
      <c r="F267" s="13">
        <v>45</v>
      </c>
      <c r="G267" s="13">
        <v>45</v>
      </c>
      <c r="H267" s="13"/>
      <c r="I267" s="13"/>
      <c r="J267" s="13"/>
      <c r="K267" s="13">
        <v>45</v>
      </c>
      <c r="L267" s="23"/>
      <c r="M267" s="13" t="s">
        <v>23</v>
      </c>
      <c r="N267" s="13">
        <f>IFERROR(VLOOKUP($A:$A,[1]KION_IND_E_COM_LT!$A:$T,18,0),"")</f>
        <v>0</v>
      </c>
      <c r="O267" s="14">
        <v>1</v>
      </c>
      <c r="P267" s="15">
        <f t="shared" si="4"/>
        <v>45</v>
      </c>
      <c r="Q267" s="16"/>
      <c r="R267" s="17" t="s">
        <v>5</v>
      </c>
      <c r="S267" s="13" t="s">
        <v>0</v>
      </c>
    </row>
    <row r="268" spans="1:19" x14ac:dyDescent="0.25">
      <c r="A268" s="13">
        <v>970602001</v>
      </c>
      <c r="B268" s="27" t="s">
        <v>150</v>
      </c>
      <c r="C268" s="28">
        <v>2</v>
      </c>
      <c r="D268" s="13">
        <v>387804</v>
      </c>
      <c r="E268" s="13"/>
      <c r="F268" s="13">
        <v>705</v>
      </c>
      <c r="G268" s="13">
        <v>1</v>
      </c>
      <c r="H268" s="13"/>
      <c r="I268" s="13"/>
      <c r="J268" s="13"/>
      <c r="K268" s="13">
        <v>1</v>
      </c>
      <c r="L268" s="23"/>
      <c r="M268" s="13"/>
      <c r="N268" s="13">
        <f>IFERROR(VLOOKUP($A:$A,[1]KION_IND_E_COM_LT!$A:$T,18,0),"")</f>
        <v>0</v>
      </c>
      <c r="O268" s="14">
        <v>1</v>
      </c>
      <c r="P268" s="15">
        <f t="shared" si="4"/>
        <v>1</v>
      </c>
      <c r="Q268" s="16"/>
      <c r="R268" s="17" t="s">
        <v>5</v>
      </c>
      <c r="S268" s="13" t="s">
        <v>0</v>
      </c>
    </row>
    <row r="269" spans="1:19" x14ac:dyDescent="0.25">
      <c r="A269" s="13">
        <v>971103001</v>
      </c>
      <c r="B269" s="27" t="s">
        <v>282</v>
      </c>
      <c r="C269" s="28">
        <v>0</v>
      </c>
      <c r="D269" s="13">
        <v>387804</v>
      </c>
      <c r="E269" s="13"/>
      <c r="F269" s="13">
        <v>25</v>
      </c>
      <c r="G269" s="13">
        <v>25</v>
      </c>
      <c r="H269" s="13"/>
      <c r="I269" s="13"/>
      <c r="J269" s="13"/>
      <c r="K269" s="13">
        <v>25</v>
      </c>
      <c r="L269" s="23"/>
      <c r="M269" s="13" t="s">
        <v>23</v>
      </c>
      <c r="N269" s="13">
        <f>IFERROR(VLOOKUP($A:$A,[1]KION_IND_E_COM_LT!$A:$T,18,0),"")</f>
        <v>0</v>
      </c>
      <c r="O269" s="14">
        <v>1</v>
      </c>
      <c r="P269" s="15">
        <f t="shared" si="4"/>
        <v>25</v>
      </c>
      <c r="Q269" s="16"/>
      <c r="R269" s="17" t="s">
        <v>5</v>
      </c>
      <c r="S269" s="13" t="s">
        <v>0</v>
      </c>
    </row>
    <row r="270" spans="1:19" x14ac:dyDescent="0.25">
      <c r="A270" s="13">
        <v>971577001</v>
      </c>
      <c r="B270" s="27" t="s">
        <v>179</v>
      </c>
      <c r="C270" s="28">
        <v>1</v>
      </c>
      <c r="D270" s="13">
        <v>388033</v>
      </c>
      <c r="E270" s="13"/>
      <c r="F270" s="13">
        <v>120</v>
      </c>
      <c r="G270" s="13">
        <v>4</v>
      </c>
      <c r="H270" s="13"/>
      <c r="I270" s="13"/>
      <c r="J270" s="13"/>
      <c r="K270" s="13">
        <v>4</v>
      </c>
      <c r="L270" s="24" t="s">
        <v>21</v>
      </c>
      <c r="M270" s="13" t="s">
        <v>320</v>
      </c>
      <c r="N270" s="13">
        <f>IFERROR(VLOOKUP($A:$A,[1]KION_IND_E_COM_LT!$A:$T,18,0),"")</f>
        <v>0</v>
      </c>
      <c r="O270" s="14">
        <v>1</v>
      </c>
      <c r="P270" s="15">
        <f t="shared" si="4"/>
        <v>4</v>
      </c>
      <c r="Q270" s="16" t="s">
        <v>3</v>
      </c>
      <c r="R270" s="17" t="s">
        <v>3</v>
      </c>
      <c r="S270" s="13" t="s">
        <v>0</v>
      </c>
    </row>
    <row r="271" spans="1:19" x14ac:dyDescent="0.25">
      <c r="A271" s="13">
        <v>973200003</v>
      </c>
      <c r="B271" s="27" t="s">
        <v>135</v>
      </c>
      <c r="C271" s="28">
        <v>0</v>
      </c>
      <c r="D271" s="13">
        <v>388282</v>
      </c>
      <c r="E271" s="13"/>
      <c r="F271" s="13">
        <v>2000</v>
      </c>
      <c r="G271" s="13">
        <v>50</v>
      </c>
      <c r="H271" s="13"/>
      <c r="I271" s="13"/>
      <c r="J271" s="13"/>
      <c r="K271" s="13">
        <v>50</v>
      </c>
      <c r="L271" s="22" t="s">
        <v>21</v>
      </c>
      <c r="M271" s="22" t="s">
        <v>28</v>
      </c>
      <c r="N271" s="22" t="s">
        <v>65</v>
      </c>
      <c r="O271" s="14">
        <v>1</v>
      </c>
      <c r="P271" s="15">
        <f t="shared" si="4"/>
        <v>50</v>
      </c>
      <c r="Q271" s="16" t="s">
        <v>4</v>
      </c>
      <c r="R271" s="17">
        <v>3</v>
      </c>
      <c r="S271" s="13" t="s">
        <v>0</v>
      </c>
    </row>
    <row r="272" spans="1:19" x14ac:dyDescent="0.25">
      <c r="A272" s="13">
        <v>973200004</v>
      </c>
      <c r="B272" s="27" t="s">
        <v>135</v>
      </c>
      <c r="C272" s="28">
        <v>0</v>
      </c>
      <c r="D272" s="13">
        <v>388282</v>
      </c>
      <c r="E272" s="13"/>
      <c r="F272" s="13">
        <v>1900</v>
      </c>
      <c r="G272" s="13">
        <v>1900</v>
      </c>
      <c r="H272" s="13"/>
      <c r="I272" s="13"/>
      <c r="J272" s="13">
        <v>1900</v>
      </c>
      <c r="K272" s="13">
        <v>0</v>
      </c>
      <c r="L272" s="24" t="s">
        <v>21</v>
      </c>
      <c r="M272" s="13" t="s">
        <v>320</v>
      </c>
      <c r="N272" s="13">
        <f>IFERROR(VLOOKUP($A:$A,[1]KION_IND_E_COM_LT!$A:$T,18,0),"")</f>
        <v>0</v>
      </c>
      <c r="O272" s="14"/>
      <c r="P272" s="15">
        <f t="shared" si="4"/>
        <v>0</v>
      </c>
      <c r="Q272" s="16" t="s">
        <v>4</v>
      </c>
      <c r="R272" s="17">
        <v>3</v>
      </c>
      <c r="S272" s="13" t="s">
        <v>0</v>
      </c>
    </row>
    <row r="273" spans="1:19" x14ac:dyDescent="0.25">
      <c r="A273" s="13">
        <v>974223003</v>
      </c>
      <c r="B273" s="27" t="s">
        <v>155</v>
      </c>
      <c r="C273" s="28">
        <v>0</v>
      </c>
      <c r="D273" s="13">
        <v>388453</v>
      </c>
      <c r="E273" s="13"/>
      <c r="F273" s="13">
        <v>2000</v>
      </c>
      <c r="G273" s="13">
        <v>40</v>
      </c>
      <c r="H273" s="13"/>
      <c r="I273" s="13">
        <v>40</v>
      </c>
      <c r="J273" s="13"/>
      <c r="K273" s="13">
        <v>0</v>
      </c>
      <c r="L273" s="22" t="s">
        <v>21</v>
      </c>
      <c r="M273" s="13" t="s">
        <v>28</v>
      </c>
      <c r="N273" s="13">
        <f>IFERROR(VLOOKUP($A:$A,[1]KION_IND_E_COM_LT!$A:$T,18,0),"")</f>
        <v>0</v>
      </c>
      <c r="O273" s="14"/>
      <c r="P273" s="15">
        <f t="shared" si="4"/>
        <v>0</v>
      </c>
      <c r="Q273" s="16"/>
      <c r="R273" s="17">
        <v>7</v>
      </c>
      <c r="S273" s="13" t="s">
        <v>0</v>
      </c>
    </row>
    <row r="274" spans="1:19" x14ac:dyDescent="0.25">
      <c r="A274" s="13">
        <v>974299001</v>
      </c>
      <c r="B274" s="27" t="s">
        <v>81</v>
      </c>
      <c r="C274" s="28">
        <v>0</v>
      </c>
      <c r="D274" s="13">
        <v>388453</v>
      </c>
      <c r="E274" s="13"/>
      <c r="F274" s="13">
        <v>100</v>
      </c>
      <c r="G274" s="13">
        <v>100</v>
      </c>
      <c r="H274" s="13"/>
      <c r="I274" s="13"/>
      <c r="J274" s="13"/>
      <c r="K274" s="13">
        <v>100</v>
      </c>
      <c r="L274" s="23"/>
      <c r="M274" s="13" t="s">
        <v>23</v>
      </c>
      <c r="N274" s="13">
        <f>IFERROR(VLOOKUP($A:$A,[1]KION_IND_E_COM_LT!$A:$T,18,0),"")</f>
        <v>0</v>
      </c>
      <c r="O274" s="14">
        <v>1</v>
      </c>
      <c r="P274" s="15">
        <f t="shared" si="4"/>
        <v>100</v>
      </c>
      <c r="Q274" s="16" t="s">
        <v>3</v>
      </c>
      <c r="R274" s="17" t="s">
        <v>3</v>
      </c>
      <c r="S274" s="13" t="s">
        <v>0</v>
      </c>
    </row>
    <row r="275" spans="1:19" x14ac:dyDescent="0.25">
      <c r="A275" s="13">
        <v>974300001</v>
      </c>
      <c r="B275" s="27" t="s">
        <v>82</v>
      </c>
      <c r="C275" s="28">
        <v>0</v>
      </c>
      <c r="D275" s="13">
        <v>388453</v>
      </c>
      <c r="E275" s="13"/>
      <c r="F275" s="13">
        <v>100</v>
      </c>
      <c r="G275" s="13">
        <v>100</v>
      </c>
      <c r="H275" s="13"/>
      <c r="I275" s="13"/>
      <c r="J275" s="13"/>
      <c r="K275" s="13">
        <v>100</v>
      </c>
      <c r="L275" s="24" t="s">
        <v>21</v>
      </c>
      <c r="M275" s="13" t="s">
        <v>320</v>
      </c>
      <c r="N275" s="13">
        <f>IFERROR(VLOOKUP($A:$A,[1]KION_IND_E_COM_LT!$A:$T,18,0),"")</f>
        <v>0</v>
      </c>
      <c r="O275" s="14">
        <v>1</v>
      </c>
      <c r="P275" s="15">
        <f t="shared" si="4"/>
        <v>100</v>
      </c>
      <c r="Q275" s="16" t="s">
        <v>3</v>
      </c>
      <c r="R275" s="17" t="s">
        <v>3</v>
      </c>
      <c r="S275" s="13" t="s">
        <v>0</v>
      </c>
    </row>
    <row r="276" spans="1:19" x14ac:dyDescent="0.25">
      <c r="A276" s="13">
        <v>974302001</v>
      </c>
      <c r="B276" s="27" t="s">
        <v>100</v>
      </c>
      <c r="C276" s="28">
        <v>3</v>
      </c>
      <c r="D276" s="13">
        <v>388453</v>
      </c>
      <c r="E276" s="13"/>
      <c r="F276" s="13">
        <v>100</v>
      </c>
      <c r="G276" s="13">
        <v>100</v>
      </c>
      <c r="H276" s="13"/>
      <c r="I276" s="13"/>
      <c r="J276" s="13"/>
      <c r="K276" s="13">
        <v>100</v>
      </c>
      <c r="L276" s="23"/>
      <c r="M276" s="13"/>
      <c r="N276" s="13">
        <f>IFERROR(VLOOKUP($A:$A,[1]KION_IND_E_COM_LT!$A:$T,18,0),"")</f>
        <v>0</v>
      </c>
      <c r="O276" s="14">
        <v>1</v>
      </c>
      <c r="P276" s="15">
        <f t="shared" si="4"/>
        <v>100</v>
      </c>
      <c r="Q276" s="16" t="s">
        <v>3</v>
      </c>
      <c r="R276" s="17" t="s">
        <v>3</v>
      </c>
      <c r="S276" s="13" t="s">
        <v>0</v>
      </c>
    </row>
    <row r="277" spans="1:19" x14ac:dyDescent="0.25">
      <c r="A277" s="13">
        <v>974303001</v>
      </c>
      <c r="B277" s="27" t="s">
        <v>120</v>
      </c>
      <c r="C277" s="28">
        <v>8</v>
      </c>
      <c r="D277" s="13">
        <v>388453</v>
      </c>
      <c r="E277" s="13"/>
      <c r="F277" s="13">
        <v>100</v>
      </c>
      <c r="G277" s="13">
        <v>100</v>
      </c>
      <c r="H277" s="13"/>
      <c r="I277" s="13"/>
      <c r="J277" s="13"/>
      <c r="K277" s="13">
        <v>100</v>
      </c>
      <c r="L277" s="23"/>
      <c r="M277" s="13" t="s">
        <v>23</v>
      </c>
      <c r="N277" s="13">
        <f>IFERROR(VLOOKUP($A:$A,[1]KION_IND_E_COM_LT!$A:$T,18,0),"")</f>
        <v>0</v>
      </c>
      <c r="O277" s="14">
        <v>1</v>
      </c>
      <c r="P277" s="15">
        <f t="shared" si="4"/>
        <v>100</v>
      </c>
      <c r="Q277" s="16">
        <v>44081</v>
      </c>
      <c r="R277" s="17">
        <v>8</v>
      </c>
      <c r="S277" s="13" t="s">
        <v>0</v>
      </c>
    </row>
    <row r="278" spans="1:19" x14ac:dyDescent="0.25">
      <c r="A278" s="13">
        <v>974304001</v>
      </c>
      <c r="B278" s="27" t="s">
        <v>186</v>
      </c>
      <c r="C278" s="28">
        <v>1</v>
      </c>
      <c r="D278" s="13">
        <v>388453</v>
      </c>
      <c r="E278" s="13"/>
      <c r="F278" s="13">
        <v>200</v>
      </c>
      <c r="G278" s="13">
        <v>200</v>
      </c>
      <c r="H278" s="13"/>
      <c r="I278" s="13"/>
      <c r="J278" s="13"/>
      <c r="K278" s="13">
        <v>200</v>
      </c>
      <c r="L278" s="23"/>
      <c r="M278" s="13" t="s">
        <v>23</v>
      </c>
      <c r="N278" s="13">
        <f>IFERROR(VLOOKUP($A:$A,[1]KION_IND_E_COM_LT!$A:$T,18,0),"")</f>
        <v>0</v>
      </c>
      <c r="O278" s="14">
        <v>1</v>
      </c>
      <c r="P278" s="15">
        <f t="shared" si="4"/>
        <v>200</v>
      </c>
      <c r="Q278" s="16" t="s">
        <v>3</v>
      </c>
      <c r="R278" s="17" t="s">
        <v>3</v>
      </c>
      <c r="S278" s="13" t="s">
        <v>0</v>
      </c>
    </row>
    <row r="279" spans="1:19" x14ac:dyDescent="0.25">
      <c r="A279" s="13">
        <v>974306001</v>
      </c>
      <c r="B279" s="27" t="s">
        <v>78</v>
      </c>
      <c r="C279" s="28">
        <v>1</v>
      </c>
      <c r="D279" s="13">
        <v>388453</v>
      </c>
      <c r="E279" s="13"/>
      <c r="F279" s="13">
        <v>200</v>
      </c>
      <c r="G279" s="13">
        <v>200</v>
      </c>
      <c r="H279" s="13"/>
      <c r="I279" s="13"/>
      <c r="J279" s="13"/>
      <c r="K279" s="13">
        <v>200</v>
      </c>
      <c r="L279" s="23"/>
      <c r="M279" s="13" t="s">
        <v>23</v>
      </c>
      <c r="N279" s="13">
        <f>IFERROR(VLOOKUP($A:$A,[1]KION_IND_E_COM_LT!$A:$T,18,0),"")</f>
        <v>0</v>
      </c>
      <c r="O279" s="14">
        <v>1</v>
      </c>
      <c r="P279" s="15">
        <f t="shared" si="4"/>
        <v>200</v>
      </c>
      <c r="Q279" s="16" t="s">
        <v>3</v>
      </c>
      <c r="R279" s="17" t="s">
        <v>3</v>
      </c>
      <c r="S279" s="13" t="s">
        <v>0</v>
      </c>
    </row>
    <row r="280" spans="1:19" x14ac:dyDescent="0.25">
      <c r="A280" s="13">
        <v>974307001</v>
      </c>
      <c r="B280" s="27" t="s">
        <v>112</v>
      </c>
      <c r="C280" s="28">
        <v>1</v>
      </c>
      <c r="D280" s="13">
        <v>388453</v>
      </c>
      <c r="E280" s="13"/>
      <c r="F280" s="13">
        <v>200</v>
      </c>
      <c r="G280" s="13">
        <v>200</v>
      </c>
      <c r="H280" s="13"/>
      <c r="I280" s="13"/>
      <c r="J280" s="13"/>
      <c r="K280" s="13">
        <v>200</v>
      </c>
      <c r="L280" s="24" t="s">
        <v>21</v>
      </c>
      <c r="M280" s="13" t="s">
        <v>320</v>
      </c>
      <c r="N280" s="13">
        <f>IFERROR(VLOOKUP($A:$A,[1]KION_IND_E_COM_LT!$A:$T,18,0),"")</f>
        <v>0</v>
      </c>
      <c r="O280" s="14">
        <v>1</v>
      </c>
      <c r="P280" s="15">
        <f t="shared" si="4"/>
        <v>200</v>
      </c>
      <c r="Q280" s="16">
        <v>44081</v>
      </c>
      <c r="R280" s="17">
        <v>8</v>
      </c>
      <c r="S280" s="13" t="s">
        <v>0</v>
      </c>
    </row>
    <row r="281" spans="1:19" x14ac:dyDescent="0.25">
      <c r="A281" s="13">
        <v>974308001</v>
      </c>
      <c r="B281" s="27" t="s">
        <v>174</v>
      </c>
      <c r="C281" s="28">
        <v>2</v>
      </c>
      <c r="D281" s="13">
        <v>388453</v>
      </c>
      <c r="E281" s="13"/>
      <c r="F281" s="13">
        <v>110</v>
      </c>
      <c r="G281" s="13">
        <v>110</v>
      </c>
      <c r="H281" s="13"/>
      <c r="I281" s="13"/>
      <c r="J281" s="13"/>
      <c r="K281" s="13">
        <v>110</v>
      </c>
      <c r="L281" s="23"/>
      <c r="M281" s="13"/>
      <c r="N281" s="13">
        <f>IFERROR(VLOOKUP($A:$A,[1]KION_IND_E_COM_LT!$A:$T,18,0),"")</f>
        <v>0</v>
      </c>
      <c r="O281" s="14">
        <v>1</v>
      </c>
      <c r="P281" s="15">
        <f t="shared" si="4"/>
        <v>110</v>
      </c>
      <c r="Q281" s="16" t="s">
        <v>3</v>
      </c>
      <c r="R281" s="17" t="s">
        <v>3</v>
      </c>
      <c r="S281" s="13" t="s">
        <v>0</v>
      </c>
    </row>
    <row r="282" spans="1:19" x14ac:dyDescent="0.25">
      <c r="A282" s="13">
        <v>974310001</v>
      </c>
      <c r="B282" s="27" t="s">
        <v>146</v>
      </c>
      <c r="C282" s="28">
        <v>0</v>
      </c>
      <c r="D282" s="13">
        <v>388453</v>
      </c>
      <c r="E282" s="13"/>
      <c r="F282" s="13">
        <v>110</v>
      </c>
      <c r="G282" s="13">
        <v>2</v>
      </c>
      <c r="H282" s="13"/>
      <c r="I282" s="13"/>
      <c r="J282" s="13"/>
      <c r="K282" s="13">
        <v>2</v>
      </c>
      <c r="L282" s="23"/>
      <c r="M282" s="13"/>
      <c r="N282" s="13">
        <f>IFERROR(VLOOKUP($A:$A,[1]KION_IND_E_COM_LT!$A:$T,18,0),"")</f>
        <v>0</v>
      </c>
      <c r="O282" s="14">
        <v>1</v>
      </c>
      <c r="P282" s="15">
        <f t="shared" si="4"/>
        <v>2</v>
      </c>
      <c r="Q282" s="16"/>
      <c r="R282" s="17" t="s">
        <v>5</v>
      </c>
      <c r="S282" s="13" t="s">
        <v>0</v>
      </c>
    </row>
    <row r="283" spans="1:19" x14ac:dyDescent="0.25">
      <c r="A283" s="13">
        <v>974314001</v>
      </c>
      <c r="B283" s="27" t="s">
        <v>176</v>
      </c>
      <c r="C283" s="28">
        <v>1</v>
      </c>
      <c r="D283" s="13">
        <v>388453</v>
      </c>
      <c r="E283" s="13"/>
      <c r="F283" s="13">
        <v>110</v>
      </c>
      <c r="G283" s="13">
        <v>110</v>
      </c>
      <c r="H283" s="13"/>
      <c r="I283" s="13"/>
      <c r="J283" s="13"/>
      <c r="K283" s="13">
        <v>110</v>
      </c>
      <c r="L283" s="24" t="s">
        <v>21</v>
      </c>
      <c r="M283" s="13" t="s">
        <v>320</v>
      </c>
      <c r="N283" s="13">
        <f>IFERROR(VLOOKUP($A:$A,[1]KION_IND_E_COM_LT!$A:$T,18,0),"")</f>
        <v>0</v>
      </c>
      <c r="O283" s="14">
        <v>1</v>
      </c>
      <c r="P283" s="15">
        <f t="shared" si="4"/>
        <v>110</v>
      </c>
      <c r="Q283" s="16" t="s">
        <v>3</v>
      </c>
      <c r="R283" s="17" t="s">
        <v>3</v>
      </c>
      <c r="S283" s="13" t="s">
        <v>0</v>
      </c>
    </row>
    <row r="284" spans="1:19" x14ac:dyDescent="0.25">
      <c r="A284" s="13">
        <v>974319001</v>
      </c>
      <c r="B284" s="27" t="s">
        <v>108</v>
      </c>
      <c r="C284" s="28">
        <v>3</v>
      </c>
      <c r="D284" s="13">
        <v>388453</v>
      </c>
      <c r="E284" s="13"/>
      <c r="F284" s="13">
        <v>100</v>
      </c>
      <c r="G284" s="13">
        <v>100</v>
      </c>
      <c r="H284" s="13"/>
      <c r="I284" s="13"/>
      <c r="J284" s="13"/>
      <c r="K284" s="13">
        <v>100</v>
      </c>
      <c r="L284" s="23"/>
      <c r="M284" s="13"/>
      <c r="N284" s="13">
        <f>IFERROR(VLOOKUP($A:$A,[1]KION_IND_E_COM_LT!$A:$T,18,0),"")</f>
        <v>0</v>
      </c>
      <c r="O284" s="14">
        <v>1</v>
      </c>
      <c r="P284" s="15">
        <f t="shared" si="4"/>
        <v>100</v>
      </c>
      <c r="Q284" s="16" t="s">
        <v>3</v>
      </c>
      <c r="R284" s="17" t="s">
        <v>3</v>
      </c>
      <c r="S284" s="13" t="s">
        <v>0</v>
      </c>
    </row>
    <row r="285" spans="1:19" x14ac:dyDescent="0.25">
      <c r="A285" s="13">
        <v>974324001</v>
      </c>
      <c r="B285" s="27" t="s">
        <v>68</v>
      </c>
      <c r="C285" s="28">
        <v>0</v>
      </c>
      <c r="D285" s="13">
        <v>388453</v>
      </c>
      <c r="E285" s="13"/>
      <c r="F285" s="13">
        <v>200</v>
      </c>
      <c r="G285" s="13">
        <v>200</v>
      </c>
      <c r="H285" s="13"/>
      <c r="I285" s="13"/>
      <c r="J285" s="13"/>
      <c r="K285" s="13">
        <v>200</v>
      </c>
      <c r="L285" s="22" t="s">
        <v>21</v>
      </c>
      <c r="M285" s="22" t="s">
        <v>60</v>
      </c>
      <c r="N285" s="13">
        <f>IFERROR(VLOOKUP($A:$A,[1]KION_IND_E_COM_LT!$A:$T,18,0),"")</f>
        <v>0</v>
      </c>
      <c r="O285" s="14">
        <v>1</v>
      </c>
      <c r="P285" s="15">
        <f t="shared" si="4"/>
        <v>200</v>
      </c>
      <c r="Q285" s="16">
        <v>44081</v>
      </c>
      <c r="R285" s="17">
        <v>8</v>
      </c>
      <c r="S285" s="13" t="s">
        <v>0</v>
      </c>
    </row>
    <row r="286" spans="1:19" x14ac:dyDescent="0.25">
      <c r="A286" s="13">
        <v>974350001</v>
      </c>
      <c r="B286" s="27" t="s">
        <v>195</v>
      </c>
      <c r="C286" s="28">
        <v>2</v>
      </c>
      <c r="D286" s="13">
        <v>388453</v>
      </c>
      <c r="E286" s="13"/>
      <c r="F286" s="13">
        <v>100</v>
      </c>
      <c r="G286" s="13">
        <v>1</v>
      </c>
      <c r="H286" s="13"/>
      <c r="I286" s="13"/>
      <c r="J286" s="13"/>
      <c r="K286" s="13">
        <v>1</v>
      </c>
      <c r="L286" s="24" t="s">
        <v>21</v>
      </c>
      <c r="M286" s="13" t="s">
        <v>33</v>
      </c>
      <c r="N286" s="13">
        <f>IFERROR(VLOOKUP($A:$A,[1]KION_IND_E_COM_LT!$A:$T,18,0),"")</f>
        <v>0</v>
      </c>
      <c r="O286" s="14">
        <v>1</v>
      </c>
      <c r="P286" s="15">
        <f t="shared" si="4"/>
        <v>1</v>
      </c>
      <c r="Q286" s="16"/>
      <c r="R286" s="17" t="s">
        <v>5</v>
      </c>
      <c r="S286" s="13" t="s">
        <v>0</v>
      </c>
    </row>
    <row r="287" spans="1:19" x14ac:dyDescent="0.25">
      <c r="A287" s="13">
        <v>974367001</v>
      </c>
      <c r="B287" s="27" t="s">
        <v>292</v>
      </c>
      <c r="C287" s="28">
        <v>3</v>
      </c>
      <c r="D287" s="13">
        <v>388453</v>
      </c>
      <c r="E287" s="13"/>
      <c r="F287" s="13">
        <v>100</v>
      </c>
      <c r="G287" s="13">
        <v>100</v>
      </c>
      <c r="H287" s="13"/>
      <c r="I287" s="13"/>
      <c r="J287" s="13"/>
      <c r="K287" s="13">
        <v>100</v>
      </c>
      <c r="L287" s="23"/>
      <c r="M287" s="13" t="s">
        <v>23</v>
      </c>
      <c r="N287" s="13">
        <f>IFERROR(VLOOKUP($A:$A,[1]KION_IND_E_COM_LT!$A:$T,18,0),"")</f>
        <v>0</v>
      </c>
      <c r="O287" s="14">
        <v>1</v>
      </c>
      <c r="P287" s="15">
        <f t="shared" si="4"/>
        <v>100</v>
      </c>
      <c r="Q287" s="16">
        <v>44081</v>
      </c>
      <c r="R287" s="17">
        <v>8</v>
      </c>
      <c r="S287" s="13" t="s">
        <v>0</v>
      </c>
    </row>
    <row r="288" spans="1:19" x14ac:dyDescent="0.25">
      <c r="A288" s="13">
        <v>974382001</v>
      </c>
      <c r="B288" s="27" t="s">
        <v>297</v>
      </c>
      <c r="C288" s="28">
        <v>3</v>
      </c>
      <c r="D288" s="13">
        <v>388453</v>
      </c>
      <c r="E288" s="13"/>
      <c r="F288" s="13">
        <v>100</v>
      </c>
      <c r="G288" s="13">
        <v>100</v>
      </c>
      <c r="H288" s="13"/>
      <c r="I288" s="13"/>
      <c r="J288" s="13"/>
      <c r="K288" s="13">
        <v>100</v>
      </c>
      <c r="L288" s="23"/>
      <c r="M288" s="13" t="s">
        <v>23</v>
      </c>
      <c r="N288" s="13">
        <f>IFERROR(VLOOKUP($A:$A,[1]KION_IND_E_COM_LT!$A:$T,18,0),"")</f>
        <v>0</v>
      </c>
      <c r="O288" s="14">
        <v>1</v>
      </c>
      <c r="P288" s="15">
        <f t="shared" si="4"/>
        <v>100</v>
      </c>
      <c r="Q288" s="16" t="s">
        <v>3</v>
      </c>
      <c r="R288" s="17" t="s">
        <v>3</v>
      </c>
      <c r="S288" s="13" t="s">
        <v>0</v>
      </c>
    </row>
    <row r="289" spans="1:19" x14ac:dyDescent="0.25">
      <c r="A289" s="13">
        <v>974391001</v>
      </c>
      <c r="B289" s="27" t="s">
        <v>302</v>
      </c>
      <c r="C289" s="28">
        <v>0</v>
      </c>
      <c r="D289" s="13">
        <v>388453</v>
      </c>
      <c r="E289" s="13"/>
      <c r="F289" s="13">
        <v>100</v>
      </c>
      <c r="G289" s="13">
        <v>100</v>
      </c>
      <c r="H289" s="13"/>
      <c r="I289" s="13"/>
      <c r="J289" s="13"/>
      <c r="K289" s="13">
        <v>100</v>
      </c>
      <c r="L289" s="22" t="s">
        <v>21</v>
      </c>
      <c r="M289" s="22" t="s">
        <v>60</v>
      </c>
      <c r="N289" s="13">
        <f>IFERROR(VLOOKUP($A:$A,[1]KION_IND_E_COM_LT!$A:$T,18,0),"")</f>
        <v>0</v>
      </c>
      <c r="O289" s="14">
        <v>1</v>
      </c>
      <c r="P289" s="15">
        <f t="shared" si="4"/>
        <v>100</v>
      </c>
      <c r="Q289" s="16">
        <v>44067</v>
      </c>
      <c r="R289" s="17">
        <v>6</v>
      </c>
      <c r="S289" s="13" t="s">
        <v>0</v>
      </c>
    </row>
    <row r="290" spans="1:19" x14ac:dyDescent="0.25">
      <c r="A290" s="13">
        <v>974392001</v>
      </c>
      <c r="B290" s="27" t="s">
        <v>151</v>
      </c>
      <c r="C290" s="28">
        <v>2</v>
      </c>
      <c r="D290" s="13">
        <v>388453</v>
      </c>
      <c r="E290" s="13"/>
      <c r="F290" s="13">
        <v>100</v>
      </c>
      <c r="G290" s="13">
        <v>100</v>
      </c>
      <c r="H290" s="13"/>
      <c r="I290" s="13"/>
      <c r="J290" s="13"/>
      <c r="K290" s="13">
        <v>100</v>
      </c>
      <c r="L290" s="22" t="s">
        <v>21</v>
      </c>
      <c r="M290" s="13" t="s">
        <v>60</v>
      </c>
      <c r="N290" s="13">
        <f>IFERROR(VLOOKUP($A:$A,[1]KION_IND_E_COM_LT!$A:$T,18,0),"")</f>
        <v>0</v>
      </c>
      <c r="O290" s="14">
        <v>1</v>
      </c>
      <c r="P290" s="15">
        <f t="shared" si="4"/>
        <v>100</v>
      </c>
      <c r="Q290" s="16">
        <v>44067</v>
      </c>
      <c r="R290" s="17">
        <v>6</v>
      </c>
      <c r="S290" s="13" t="s">
        <v>0</v>
      </c>
    </row>
    <row r="291" spans="1:19" x14ac:dyDescent="0.25">
      <c r="A291" s="13">
        <v>975404001</v>
      </c>
      <c r="B291" s="27" t="s">
        <v>292</v>
      </c>
      <c r="C291" s="28">
        <v>3</v>
      </c>
      <c r="D291" s="13">
        <v>388616</v>
      </c>
      <c r="E291" s="13"/>
      <c r="F291" s="13">
        <v>100</v>
      </c>
      <c r="G291" s="13">
        <v>100</v>
      </c>
      <c r="H291" s="13"/>
      <c r="I291" s="13"/>
      <c r="J291" s="13"/>
      <c r="K291" s="13">
        <v>100</v>
      </c>
      <c r="L291" s="24" t="s">
        <v>21</v>
      </c>
      <c r="M291" s="13" t="s">
        <v>46</v>
      </c>
      <c r="N291" s="13">
        <f>IFERROR(VLOOKUP($A:$A,[1]KION_IND_E_COM_LT!$A:$T,18,0),"")</f>
        <v>0</v>
      </c>
      <c r="O291" s="14">
        <v>1</v>
      </c>
      <c r="P291" s="15">
        <f t="shared" si="4"/>
        <v>100</v>
      </c>
      <c r="Q291" s="16">
        <v>44081</v>
      </c>
      <c r="R291" s="17">
        <v>8</v>
      </c>
      <c r="S291" s="13" t="s">
        <v>0</v>
      </c>
    </row>
    <row r="292" spans="1:19" x14ac:dyDescent="0.25">
      <c r="A292" s="13">
        <v>975404002</v>
      </c>
      <c r="B292" s="27" t="s">
        <v>292</v>
      </c>
      <c r="C292" s="28">
        <v>3</v>
      </c>
      <c r="D292" s="13">
        <v>388616</v>
      </c>
      <c r="E292" s="13"/>
      <c r="F292" s="13">
        <v>100</v>
      </c>
      <c r="G292" s="13">
        <v>100</v>
      </c>
      <c r="H292" s="13"/>
      <c r="I292" s="13"/>
      <c r="J292" s="13"/>
      <c r="K292" s="13">
        <v>100</v>
      </c>
      <c r="L292" s="24" t="s">
        <v>21</v>
      </c>
      <c r="M292" s="13" t="s">
        <v>46</v>
      </c>
      <c r="N292" s="13">
        <f>IFERROR(VLOOKUP($A:$A,[1]KION_IND_E_COM_LT!$A:$T,18,0),"")</f>
        <v>0</v>
      </c>
      <c r="O292" s="14">
        <v>1</v>
      </c>
      <c r="P292" s="15">
        <f t="shared" si="4"/>
        <v>100</v>
      </c>
      <c r="Q292" s="16">
        <v>44081</v>
      </c>
      <c r="R292" s="17">
        <v>8</v>
      </c>
      <c r="S292" s="13" t="s">
        <v>0</v>
      </c>
    </row>
    <row r="293" spans="1:19" x14ac:dyDescent="0.25">
      <c r="A293" s="13">
        <v>975404003</v>
      </c>
      <c r="B293" s="27" t="s">
        <v>292</v>
      </c>
      <c r="C293" s="28">
        <v>3</v>
      </c>
      <c r="D293" s="13">
        <v>388616</v>
      </c>
      <c r="E293" s="13"/>
      <c r="F293" s="13">
        <v>90</v>
      </c>
      <c r="G293" s="13">
        <v>90</v>
      </c>
      <c r="H293" s="13"/>
      <c r="I293" s="13"/>
      <c r="J293" s="13"/>
      <c r="K293" s="13">
        <v>90</v>
      </c>
      <c r="L293" s="23"/>
      <c r="M293" s="13" t="s">
        <v>23</v>
      </c>
      <c r="N293" s="13">
        <f>IFERROR(VLOOKUP($A:$A,[1]KION_IND_E_COM_LT!$A:$T,18,0),"")</f>
        <v>0</v>
      </c>
      <c r="O293" s="14">
        <v>1</v>
      </c>
      <c r="P293" s="15">
        <f t="shared" si="4"/>
        <v>90</v>
      </c>
      <c r="Q293" s="16" t="s">
        <v>3</v>
      </c>
      <c r="R293" s="17" t="s">
        <v>3</v>
      </c>
      <c r="S293" s="13" t="s">
        <v>0</v>
      </c>
    </row>
    <row r="294" spans="1:19" x14ac:dyDescent="0.25">
      <c r="A294" s="13">
        <v>976235001</v>
      </c>
      <c r="B294" s="27" t="s">
        <v>176</v>
      </c>
      <c r="C294" s="28">
        <v>1</v>
      </c>
      <c r="D294" s="13">
        <v>388781</v>
      </c>
      <c r="E294" s="13"/>
      <c r="F294" s="13">
        <v>100</v>
      </c>
      <c r="G294" s="13">
        <v>1</v>
      </c>
      <c r="H294" s="13"/>
      <c r="I294" s="13"/>
      <c r="J294" s="13"/>
      <c r="K294" s="13">
        <v>1</v>
      </c>
      <c r="L294" s="24" t="s">
        <v>21</v>
      </c>
      <c r="M294" s="13" t="s">
        <v>320</v>
      </c>
      <c r="N294" s="13">
        <f>IFERROR(VLOOKUP($A:$A,[1]KION_IND_E_COM_LT!$A:$T,18,0),"")</f>
        <v>0</v>
      </c>
      <c r="O294" s="14">
        <v>1</v>
      </c>
      <c r="P294" s="15">
        <f t="shared" si="4"/>
        <v>1</v>
      </c>
      <c r="Q294" s="16">
        <v>44081</v>
      </c>
      <c r="R294" s="17">
        <v>8</v>
      </c>
      <c r="S294" s="13" t="s">
        <v>0</v>
      </c>
    </row>
    <row r="295" spans="1:19" x14ac:dyDescent="0.25">
      <c r="A295" s="13">
        <v>977248001</v>
      </c>
      <c r="B295" s="27" t="s">
        <v>210</v>
      </c>
      <c r="C295" s="28">
        <v>1</v>
      </c>
      <c r="D295" s="13">
        <v>389022</v>
      </c>
      <c r="E295" s="13"/>
      <c r="F295" s="13">
        <v>15</v>
      </c>
      <c r="G295" s="13">
        <v>15</v>
      </c>
      <c r="H295" s="13"/>
      <c r="I295" s="13"/>
      <c r="J295" s="13"/>
      <c r="K295" s="13">
        <v>15</v>
      </c>
      <c r="L295" s="22" t="s">
        <v>21</v>
      </c>
      <c r="M295" s="13" t="s">
        <v>60</v>
      </c>
      <c r="N295" s="13">
        <f>IFERROR(VLOOKUP($A:$A,[1]KION_IND_E_COM_LT!$A:$T,18,0),"")</f>
        <v>0</v>
      </c>
      <c r="O295" s="14">
        <v>1</v>
      </c>
      <c r="P295" s="15">
        <f t="shared" si="4"/>
        <v>15</v>
      </c>
      <c r="Q295" s="16">
        <v>44081</v>
      </c>
      <c r="R295" s="17">
        <v>8</v>
      </c>
      <c r="S295" s="13" t="s">
        <v>0</v>
      </c>
    </row>
    <row r="296" spans="1:19" x14ac:dyDescent="0.25">
      <c r="A296" s="13">
        <v>977332001</v>
      </c>
      <c r="B296" s="27" t="s">
        <v>209</v>
      </c>
      <c r="C296" s="28">
        <v>0</v>
      </c>
      <c r="D296" s="13">
        <v>389022</v>
      </c>
      <c r="E296" s="13"/>
      <c r="F296" s="13">
        <v>17</v>
      </c>
      <c r="G296" s="13">
        <v>17</v>
      </c>
      <c r="H296" s="13"/>
      <c r="I296" s="13"/>
      <c r="J296" s="13"/>
      <c r="K296" s="13">
        <v>17</v>
      </c>
      <c r="L296" s="22" t="s">
        <v>21</v>
      </c>
      <c r="M296" s="22" t="s">
        <v>60</v>
      </c>
      <c r="N296" s="13">
        <f>IFERROR(VLOOKUP($A:$A,[1]KION_IND_E_COM_LT!$A:$T,18,0),"")</f>
        <v>0</v>
      </c>
      <c r="O296" s="14">
        <v>1</v>
      </c>
      <c r="P296" s="15">
        <f t="shared" si="4"/>
        <v>17</v>
      </c>
      <c r="Q296" s="16">
        <v>44081</v>
      </c>
      <c r="R296" s="17">
        <v>8</v>
      </c>
      <c r="S296" s="13" t="s">
        <v>0</v>
      </c>
    </row>
    <row r="297" spans="1:19" x14ac:dyDescent="0.25">
      <c r="A297" s="13">
        <v>977352001</v>
      </c>
      <c r="B297" s="27" t="s">
        <v>191</v>
      </c>
      <c r="C297" s="28">
        <v>1</v>
      </c>
      <c r="D297" s="13">
        <v>389022</v>
      </c>
      <c r="E297" s="13"/>
      <c r="F297" s="13">
        <v>20</v>
      </c>
      <c r="G297" s="13">
        <v>20</v>
      </c>
      <c r="H297" s="13"/>
      <c r="I297" s="13"/>
      <c r="J297" s="13">
        <v>20</v>
      </c>
      <c r="K297" s="13">
        <v>0</v>
      </c>
      <c r="L297" s="22" t="s">
        <v>21</v>
      </c>
      <c r="M297" s="13" t="s">
        <v>45</v>
      </c>
      <c r="N297" s="13">
        <f>IFERROR(VLOOKUP($A:$A,[1]KION_IND_E_COM_LT!$A:$T,18,0),"")</f>
        <v>0</v>
      </c>
      <c r="O297" s="14"/>
      <c r="P297" s="15">
        <f t="shared" si="4"/>
        <v>0</v>
      </c>
      <c r="Q297" s="16"/>
      <c r="R297" s="17" t="s">
        <v>3</v>
      </c>
      <c r="S297" s="13" t="s">
        <v>0</v>
      </c>
    </row>
    <row r="298" spans="1:19" x14ac:dyDescent="0.25">
      <c r="A298" s="13">
        <v>977399001</v>
      </c>
      <c r="B298" s="27" t="s">
        <v>179</v>
      </c>
      <c r="C298" s="28">
        <v>1</v>
      </c>
      <c r="D298" s="13">
        <v>389022</v>
      </c>
      <c r="E298" s="13"/>
      <c r="F298" s="13">
        <v>50</v>
      </c>
      <c r="G298" s="13">
        <v>50</v>
      </c>
      <c r="H298" s="13"/>
      <c r="I298" s="13"/>
      <c r="J298" s="13"/>
      <c r="K298" s="13">
        <v>50</v>
      </c>
      <c r="L298" s="23"/>
      <c r="M298" s="13" t="s">
        <v>23</v>
      </c>
      <c r="N298" s="13">
        <f>IFERROR(VLOOKUP($A:$A,[1]KION_IND_E_COM_LT!$A:$T,18,0),"")</f>
        <v>0</v>
      </c>
      <c r="O298" s="14">
        <v>1</v>
      </c>
      <c r="P298" s="15">
        <f t="shared" si="4"/>
        <v>50</v>
      </c>
      <c r="Q298" s="16" t="s">
        <v>3</v>
      </c>
      <c r="R298" s="17" t="s">
        <v>3</v>
      </c>
      <c r="S298" s="13" t="s">
        <v>0</v>
      </c>
    </row>
    <row r="299" spans="1:19" x14ac:dyDescent="0.25">
      <c r="A299" s="13">
        <v>977400001</v>
      </c>
      <c r="B299" s="27" t="s">
        <v>305</v>
      </c>
      <c r="C299" s="28">
        <v>0</v>
      </c>
      <c r="D299" s="13">
        <v>389022</v>
      </c>
      <c r="E299" s="13"/>
      <c r="F299" s="13">
        <v>40</v>
      </c>
      <c r="G299" s="13">
        <v>40</v>
      </c>
      <c r="H299" s="13"/>
      <c r="I299" s="13"/>
      <c r="J299" s="13"/>
      <c r="K299" s="13">
        <v>40</v>
      </c>
      <c r="L299" s="22" t="s">
        <v>21</v>
      </c>
      <c r="M299" s="13" t="s">
        <v>51</v>
      </c>
      <c r="N299" s="13">
        <f>IFERROR(VLOOKUP($A:$A,[1]KION_IND_E_COM_LT!$A:$T,18,0),"")</f>
        <v>0</v>
      </c>
      <c r="O299" s="14">
        <v>1</v>
      </c>
      <c r="P299" s="15">
        <f t="shared" si="4"/>
        <v>40</v>
      </c>
      <c r="Q299" s="16" t="s">
        <v>3</v>
      </c>
      <c r="R299" s="17" t="s">
        <v>3</v>
      </c>
      <c r="S299" s="13" t="s">
        <v>0</v>
      </c>
    </row>
    <row r="300" spans="1:19" x14ac:dyDescent="0.25">
      <c r="A300" s="13">
        <v>977402001</v>
      </c>
      <c r="B300" s="27" t="s">
        <v>131</v>
      </c>
      <c r="C300" s="28">
        <v>0</v>
      </c>
      <c r="D300" s="13">
        <v>389022</v>
      </c>
      <c r="E300" s="13"/>
      <c r="F300" s="13">
        <v>15</v>
      </c>
      <c r="G300" s="13">
        <v>15</v>
      </c>
      <c r="H300" s="13"/>
      <c r="I300" s="13"/>
      <c r="J300" s="13"/>
      <c r="K300" s="13">
        <v>15</v>
      </c>
      <c r="L300" s="23"/>
      <c r="M300" s="13" t="s">
        <v>23</v>
      </c>
      <c r="N300" s="13">
        <f>IFERROR(VLOOKUP($A:$A,[1]KION_IND_E_COM_LT!$A:$T,18,0),"")</f>
        <v>0</v>
      </c>
      <c r="O300" s="14">
        <v>1</v>
      </c>
      <c r="P300" s="15">
        <f t="shared" si="4"/>
        <v>15</v>
      </c>
      <c r="Q300" s="16" t="s">
        <v>3</v>
      </c>
      <c r="R300" s="17" t="s">
        <v>3</v>
      </c>
      <c r="S300" s="13" t="s">
        <v>0</v>
      </c>
    </row>
    <row r="301" spans="1:19" x14ac:dyDescent="0.25">
      <c r="A301" s="13">
        <v>977404001</v>
      </c>
      <c r="B301" s="27" t="s">
        <v>212</v>
      </c>
      <c r="C301" s="28">
        <v>0</v>
      </c>
      <c r="D301" s="13">
        <v>389022</v>
      </c>
      <c r="E301" s="13"/>
      <c r="F301" s="13">
        <v>15</v>
      </c>
      <c r="G301" s="13">
        <v>15</v>
      </c>
      <c r="H301" s="13"/>
      <c r="I301" s="13"/>
      <c r="J301" s="13"/>
      <c r="K301" s="13">
        <v>15</v>
      </c>
      <c r="L301" s="22" t="s">
        <v>21</v>
      </c>
      <c r="M301" s="22" t="s">
        <v>60</v>
      </c>
      <c r="N301" s="13">
        <f>IFERROR(VLOOKUP($A:$A,[1]KION_IND_E_COM_LT!$A:$T,18,0),"")</f>
        <v>0</v>
      </c>
      <c r="O301" s="14">
        <v>1</v>
      </c>
      <c r="P301" s="15">
        <f t="shared" si="4"/>
        <v>15</v>
      </c>
      <c r="Q301" s="16">
        <v>44081</v>
      </c>
      <c r="R301" s="17">
        <v>8</v>
      </c>
      <c r="S301" s="13" t="s">
        <v>0</v>
      </c>
    </row>
    <row r="302" spans="1:19" x14ac:dyDescent="0.25">
      <c r="A302" s="13">
        <v>977669001</v>
      </c>
      <c r="B302" s="27" t="s">
        <v>130</v>
      </c>
      <c r="C302" s="28">
        <v>1</v>
      </c>
      <c r="D302" s="13">
        <v>389134</v>
      </c>
      <c r="E302" s="13"/>
      <c r="F302" s="13">
        <v>70</v>
      </c>
      <c r="G302" s="13">
        <v>70</v>
      </c>
      <c r="H302" s="13"/>
      <c r="I302" s="13"/>
      <c r="J302" s="13"/>
      <c r="K302" s="13">
        <v>70</v>
      </c>
      <c r="L302" s="23"/>
      <c r="M302" s="13" t="s">
        <v>23</v>
      </c>
      <c r="N302" s="13">
        <f>IFERROR(VLOOKUP($A:$A,[1]KION_IND_E_COM_LT!$A:$T,18,0),"")</f>
        <v>0</v>
      </c>
      <c r="O302" s="14">
        <v>1</v>
      </c>
      <c r="P302" s="15">
        <f t="shared" si="4"/>
        <v>70</v>
      </c>
      <c r="Q302" s="16" t="s">
        <v>3</v>
      </c>
      <c r="R302" s="17" t="s">
        <v>3</v>
      </c>
      <c r="S302" s="13" t="s">
        <v>0</v>
      </c>
    </row>
    <row r="303" spans="1:19" x14ac:dyDescent="0.25">
      <c r="A303" s="13">
        <v>977671001</v>
      </c>
      <c r="B303" s="27" t="s">
        <v>133</v>
      </c>
      <c r="C303" s="28">
        <v>1</v>
      </c>
      <c r="D303" s="13">
        <v>389134</v>
      </c>
      <c r="E303" s="13"/>
      <c r="F303" s="13">
        <v>40</v>
      </c>
      <c r="G303" s="13">
        <v>40</v>
      </c>
      <c r="H303" s="13"/>
      <c r="I303" s="13"/>
      <c r="J303" s="13"/>
      <c r="K303" s="13">
        <v>40</v>
      </c>
      <c r="L303" s="23"/>
      <c r="M303" s="13" t="s">
        <v>23</v>
      </c>
      <c r="N303" s="13">
        <f>IFERROR(VLOOKUP($A:$A,[1]KION_IND_E_COM_LT!$A:$T,18,0),"")</f>
        <v>0</v>
      </c>
      <c r="O303" s="14">
        <v>1</v>
      </c>
      <c r="P303" s="15">
        <f t="shared" si="4"/>
        <v>40</v>
      </c>
      <c r="Q303" s="16" t="s">
        <v>3</v>
      </c>
      <c r="R303" s="17" t="s">
        <v>3</v>
      </c>
      <c r="S303" s="13" t="s">
        <v>0</v>
      </c>
    </row>
    <row r="304" spans="1:19" x14ac:dyDescent="0.25">
      <c r="A304" s="13">
        <v>978018001</v>
      </c>
      <c r="B304" s="27" t="s">
        <v>133</v>
      </c>
      <c r="C304" s="28">
        <v>1</v>
      </c>
      <c r="D304" s="13">
        <v>389238</v>
      </c>
      <c r="E304" s="13"/>
      <c r="F304" s="13">
        <v>50</v>
      </c>
      <c r="G304" s="13">
        <v>50</v>
      </c>
      <c r="H304" s="13"/>
      <c r="I304" s="13"/>
      <c r="J304" s="13"/>
      <c r="K304" s="13">
        <v>50</v>
      </c>
      <c r="L304" s="23"/>
      <c r="M304" s="13" t="s">
        <v>23</v>
      </c>
      <c r="N304" s="13">
        <f>IFERROR(VLOOKUP($A:$A,[1]KION_IND_E_COM_LT!$A:$T,18,0),"")</f>
        <v>0</v>
      </c>
      <c r="O304" s="14">
        <v>1</v>
      </c>
      <c r="P304" s="15">
        <f t="shared" si="4"/>
        <v>50</v>
      </c>
      <c r="Q304" s="16" t="s">
        <v>3</v>
      </c>
      <c r="R304" s="17" t="s">
        <v>3</v>
      </c>
      <c r="S304" s="13" t="s">
        <v>0</v>
      </c>
    </row>
    <row r="305" spans="1:19" x14ac:dyDescent="0.25">
      <c r="A305" s="13">
        <v>978019001</v>
      </c>
      <c r="B305" s="27" t="s">
        <v>307</v>
      </c>
      <c r="C305" s="28">
        <v>1</v>
      </c>
      <c r="D305" s="13">
        <v>389351</v>
      </c>
      <c r="E305" s="13"/>
      <c r="F305" s="13">
        <v>10</v>
      </c>
      <c r="G305" s="13">
        <v>10</v>
      </c>
      <c r="H305" s="13"/>
      <c r="I305" s="13"/>
      <c r="J305" s="13"/>
      <c r="K305" s="13">
        <v>10</v>
      </c>
      <c r="L305" s="23"/>
      <c r="M305" s="13" t="s">
        <v>23</v>
      </c>
      <c r="N305" s="13">
        <f>IFERROR(VLOOKUP($A:$A,[1]KION_IND_E_COM_LT!$A:$T,18,0),"")</f>
        <v>0</v>
      </c>
      <c r="O305" s="14">
        <v>1</v>
      </c>
      <c r="P305" s="15">
        <f t="shared" si="4"/>
        <v>10</v>
      </c>
      <c r="Q305" s="16" t="s">
        <v>3</v>
      </c>
      <c r="R305" s="17" t="s">
        <v>3</v>
      </c>
      <c r="S305" s="13" t="s">
        <v>0</v>
      </c>
    </row>
    <row r="306" spans="1:19" x14ac:dyDescent="0.25">
      <c r="A306" s="13">
        <v>978187001</v>
      </c>
      <c r="B306" s="27" t="s">
        <v>182</v>
      </c>
      <c r="C306" s="28">
        <v>0</v>
      </c>
      <c r="D306" s="13">
        <v>389351</v>
      </c>
      <c r="E306" s="13"/>
      <c r="F306" s="13">
        <v>100</v>
      </c>
      <c r="G306" s="13">
        <v>100</v>
      </c>
      <c r="H306" s="13"/>
      <c r="I306" s="13"/>
      <c r="J306" s="13"/>
      <c r="K306" s="13">
        <v>100</v>
      </c>
      <c r="L306" s="23"/>
      <c r="M306" s="13" t="s">
        <v>23</v>
      </c>
      <c r="N306" s="13">
        <f>IFERROR(VLOOKUP($A:$A,[1]KION_IND_E_COM_LT!$A:$T,18,0),"")</f>
        <v>0</v>
      </c>
      <c r="O306" s="14">
        <v>1</v>
      </c>
      <c r="P306" s="15">
        <f t="shared" si="4"/>
        <v>100</v>
      </c>
      <c r="Q306" s="16" t="s">
        <v>3</v>
      </c>
      <c r="R306" s="17" t="s">
        <v>3</v>
      </c>
      <c r="S306" s="13" t="s">
        <v>0</v>
      </c>
    </row>
    <row r="307" spans="1:19" x14ac:dyDescent="0.25">
      <c r="A307" s="13">
        <v>978316001</v>
      </c>
      <c r="B307" s="27" t="s">
        <v>143</v>
      </c>
      <c r="C307" s="28">
        <v>0</v>
      </c>
      <c r="D307" s="13">
        <v>389397</v>
      </c>
      <c r="E307" s="13"/>
      <c r="F307" s="13">
        <v>100</v>
      </c>
      <c r="G307" s="13">
        <v>100</v>
      </c>
      <c r="H307" s="13"/>
      <c r="I307" s="13"/>
      <c r="J307" s="13">
        <v>100</v>
      </c>
      <c r="K307" s="13">
        <v>0</v>
      </c>
      <c r="L307" s="24" t="s">
        <v>21</v>
      </c>
      <c r="M307" s="13" t="s">
        <v>320</v>
      </c>
      <c r="N307" s="13">
        <f>IFERROR(VLOOKUP($A:$A,[1]KION_IND_E_COM_LT!$A:$T,18,0),"")</f>
        <v>0</v>
      </c>
      <c r="O307" s="14"/>
      <c r="P307" s="15">
        <f t="shared" si="4"/>
        <v>0</v>
      </c>
      <c r="Q307" s="16"/>
      <c r="R307" s="17">
        <v>6</v>
      </c>
      <c r="S307" s="13" t="s">
        <v>0</v>
      </c>
    </row>
    <row r="308" spans="1:19" x14ac:dyDescent="0.25">
      <c r="A308" s="13">
        <v>978450004</v>
      </c>
      <c r="B308" s="27" t="s">
        <v>147</v>
      </c>
      <c r="C308" s="28">
        <v>0</v>
      </c>
      <c r="D308" s="13">
        <v>389397</v>
      </c>
      <c r="E308" s="13"/>
      <c r="F308" s="13">
        <v>150</v>
      </c>
      <c r="G308" s="13">
        <v>150</v>
      </c>
      <c r="H308" s="13"/>
      <c r="I308" s="13"/>
      <c r="J308" s="13">
        <v>150</v>
      </c>
      <c r="K308" s="13">
        <v>0</v>
      </c>
      <c r="L308" s="24" t="s">
        <v>21</v>
      </c>
      <c r="M308" s="13" t="s">
        <v>320</v>
      </c>
      <c r="N308" s="13">
        <f>IFERROR(VLOOKUP($A:$A,[1]KION_IND_E_COM_LT!$A:$T,18,0),"")</f>
        <v>0</v>
      </c>
      <c r="O308" s="14"/>
      <c r="P308" s="15">
        <f t="shared" si="4"/>
        <v>0</v>
      </c>
      <c r="Q308" s="16"/>
      <c r="R308" s="17">
        <v>6</v>
      </c>
      <c r="S308" s="13" t="s">
        <v>0</v>
      </c>
    </row>
    <row r="309" spans="1:19" x14ac:dyDescent="0.25">
      <c r="A309" s="13">
        <v>978703002</v>
      </c>
      <c r="B309" s="27" t="s">
        <v>163</v>
      </c>
      <c r="C309" s="28">
        <v>1</v>
      </c>
      <c r="D309" s="13">
        <v>389397</v>
      </c>
      <c r="E309" s="13"/>
      <c r="F309" s="13">
        <v>300</v>
      </c>
      <c r="G309" s="13">
        <v>200</v>
      </c>
      <c r="H309" s="13"/>
      <c r="I309" s="13">
        <v>200</v>
      </c>
      <c r="J309" s="13"/>
      <c r="K309" s="13">
        <v>0</v>
      </c>
      <c r="L309" s="24" t="s">
        <v>21</v>
      </c>
      <c r="M309" s="13" t="s">
        <v>32</v>
      </c>
      <c r="N309" s="13">
        <f>IFERROR(VLOOKUP($A:$A,[1]KION_IND_E_COM_LT!$A:$T,18,0),"")</f>
        <v>0</v>
      </c>
      <c r="O309" s="14"/>
      <c r="P309" s="15">
        <f t="shared" si="4"/>
        <v>0</v>
      </c>
      <c r="Q309" s="16"/>
      <c r="R309" s="17">
        <v>7</v>
      </c>
      <c r="S309" s="13" t="s">
        <v>0</v>
      </c>
    </row>
    <row r="310" spans="1:19" x14ac:dyDescent="0.25">
      <c r="A310" s="13">
        <v>978708002</v>
      </c>
      <c r="B310" s="27" t="s">
        <v>136</v>
      </c>
      <c r="C310" s="28">
        <v>0</v>
      </c>
      <c r="D310" s="13">
        <v>389397</v>
      </c>
      <c r="E310" s="13"/>
      <c r="F310" s="13">
        <v>300</v>
      </c>
      <c r="G310" s="13">
        <v>100</v>
      </c>
      <c r="H310" s="13"/>
      <c r="I310" s="13"/>
      <c r="J310" s="13">
        <v>100</v>
      </c>
      <c r="K310" s="13">
        <v>0</v>
      </c>
      <c r="L310" s="24" t="s">
        <v>21</v>
      </c>
      <c r="M310" s="13" t="s">
        <v>320</v>
      </c>
      <c r="N310" s="13">
        <f>IFERROR(VLOOKUP($A:$A,[1]KION_IND_E_COM_LT!$A:$T,18,0),"")</f>
        <v>0</v>
      </c>
      <c r="O310" s="14"/>
      <c r="P310" s="15">
        <f t="shared" si="4"/>
        <v>0</v>
      </c>
      <c r="Q310" s="16" t="s">
        <v>4</v>
      </c>
      <c r="R310" s="17">
        <v>3</v>
      </c>
      <c r="S310" s="13" t="s">
        <v>0</v>
      </c>
    </row>
    <row r="311" spans="1:19" x14ac:dyDescent="0.25">
      <c r="A311" s="13">
        <v>978708003</v>
      </c>
      <c r="B311" s="27" t="s">
        <v>136</v>
      </c>
      <c r="C311" s="28">
        <v>0</v>
      </c>
      <c r="D311" s="13">
        <v>389397</v>
      </c>
      <c r="E311" s="13"/>
      <c r="F311" s="13">
        <v>300</v>
      </c>
      <c r="G311" s="13">
        <v>300</v>
      </c>
      <c r="H311" s="13"/>
      <c r="I311" s="13"/>
      <c r="J311" s="13"/>
      <c r="K311" s="13">
        <v>300</v>
      </c>
      <c r="L311" s="24" t="s">
        <v>21</v>
      </c>
      <c r="M311" s="13" t="s">
        <v>320</v>
      </c>
      <c r="N311" s="22" t="s">
        <v>65</v>
      </c>
      <c r="O311" s="14">
        <v>1</v>
      </c>
      <c r="P311" s="15">
        <f t="shared" si="4"/>
        <v>300</v>
      </c>
      <c r="Q311" s="16" t="s">
        <v>4</v>
      </c>
      <c r="R311" s="17">
        <v>3</v>
      </c>
      <c r="S311" s="13" t="s">
        <v>0</v>
      </c>
    </row>
    <row r="312" spans="1:19" x14ac:dyDescent="0.25">
      <c r="A312" s="13">
        <v>978708004</v>
      </c>
      <c r="B312" s="27" t="s">
        <v>136</v>
      </c>
      <c r="C312" s="28">
        <v>0</v>
      </c>
      <c r="D312" s="13">
        <v>389397</v>
      </c>
      <c r="E312" s="13"/>
      <c r="F312" s="13">
        <v>300</v>
      </c>
      <c r="G312" s="13">
        <v>300</v>
      </c>
      <c r="H312" s="13"/>
      <c r="I312" s="13"/>
      <c r="J312" s="13"/>
      <c r="K312" s="13">
        <v>300</v>
      </c>
      <c r="L312" s="24" t="s">
        <v>21</v>
      </c>
      <c r="M312" s="13" t="s">
        <v>320</v>
      </c>
      <c r="N312" s="22" t="s">
        <v>65</v>
      </c>
      <c r="O312" s="14">
        <v>1</v>
      </c>
      <c r="P312" s="15">
        <f t="shared" si="4"/>
        <v>300</v>
      </c>
      <c r="Q312" s="16">
        <v>44053</v>
      </c>
      <c r="R312" s="17">
        <v>4</v>
      </c>
      <c r="S312" s="13" t="s">
        <v>0</v>
      </c>
    </row>
    <row r="313" spans="1:19" x14ac:dyDescent="0.25">
      <c r="A313" s="13">
        <v>978719002</v>
      </c>
      <c r="B313" s="27" t="s">
        <v>160</v>
      </c>
      <c r="C313" s="28">
        <v>0</v>
      </c>
      <c r="D313" s="13">
        <v>389397</v>
      </c>
      <c r="E313" s="13"/>
      <c r="F313" s="13">
        <v>300</v>
      </c>
      <c r="G313" s="13">
        <v>300</v>
      </c>
      <c r="H313" s="13"/>
      <c r="I313" s="13"/>
      <c r="J313" s="13">
        <v>300</v>
      </c>
      <c r="K313" s="13">
        <v>0</v>
      </c>
      <c r="L313" s="24" t="s">
        <v>21</v>
      </c>
      <c r="M313" s="13" t="s">
        <v>320</v>
      </c>
      <c r="N313" s="13">
        <f>IFERROR(VLOOKUP($A:$A,[1]KION_IND_E_COM_LT!$A:$T,18,0),"")</f>
        <v>0</v>
      </c>
      <c r="O313" s="14"/>
      <c r="P313" s="15">
        <f t="shared" si="4"/>
        <v>0</v>
      </c>
      <c r="Q313" s="16"/>
      <c r="R313" s="17">
        <v>7</v>
      </c>
      <c r="S313" s="13" t="s">
        <v>0</v>
      </c>
    </row>
    <row r="314" spans="1:19" x14ac:dyDescent="0.25">
      <c r="A314" s="13">
        <v>978734002</v>
      </c>
      <c r="B314" s="27" t="s">
        <v>159</v>
      </c>
      <c r="C314" s="28">
        <v>1</v>
      </c>
      <c r="D314" s="13">
        <v>389397</v>
      </c>
      <c r="E314" s="13"/>
      <c r="F314" s="13">
        <v>300</v>
      </c>
      <c r="G314" s="13">
        <v>300</v>
      </c>
      <c r="H314" s="13"/>
      <c r="I314" s="13">
        <v>300</v>
      </c>
      <c r="J314" s="13"/>
      <c r="K314" s="13">
        <v>0</v>
      </c>
      <c r="L314" s="24" t="s">
        <v>21</v>
      </c>
      <c r="M314" s="13" t="s">
        <v>32</v>
      </c>
      <c r="N314" s="13" t="str">
        <f>IFERROR(VLOOKUP($A:$A,[1]KION_IND_E_COM_LT!$A:$T,18,0),"")</f>
        <v>06/08 - B</v>
      </c>
      <c r="O314" s="14"/>
      <c r="P314" s="15">
        <f t="shared" si="4"/>
        <v>0</v>
      </c>
      <c r="Q314" s="16"/>
      <c r="R314" s="17">
        <v>7</v>
      </c>
      <c r="S314" s="13" t="s">
        <v>0</v>
      </c>
    </row>
    <row r="315" spans="1:19" x14ac:dyDescent="0.25">
      <c r="A315" s="13">
        <v>978745002</v>
      </c>
      <c r="B315" s="27" t="s">
        <v>148</v>
      </c>
      <c r="C315" s="28">
        <v>0</v>
      </c>
      <c r="D315" s="13">
        <v>389397</v>
      </c>
      <c r="E315" s="13"/>
      <c r="F315" s="13">
        <v>300</v>
      </c>
      <c r="G315" s="13">
        <v>300</v>
      </c>
      <c r="H315" s="13"/>
      <c r="I315" s="13"/>
      <c r="J315" s="13">
        <v>300</v>
      </c>
      <c r="K315" s="13">
        <v>0</v>
      </c>
      <c r="L315" s="24" t="s">
        <v>21</v>
      </c>
      <c r="M315" s="13" t="s">
        <v>320</v>
      </c>
      <c r="N315" s="13">
        <f>IFERROR(VLOOKUP($A:$A,[1]KION_IND_E_COM_LT!$A:$T,18,0),"")</f>
        <v>0</v>
      </c>
      <c r="O315" s="14"/>
      <c r="P315" s="15">
        <f t="shared" si="4"/>
        <v>0</v>
      </c>
      <c r="Q315" s="16"/>
      <c r="R315" s="17">
        <v>6</v>
      </c>
      <c r="S315" s="13" t="s">
        <v>0</v>
      </c>
    </row>
    <row r="316" spans="1:19" x14ac:dyDescent="0.25">
      <c r="A316" s="13">
        <v>978749001</v>
      </c>
      <c r="B316" s="27" t="s">
        <v>142</v>
      </c>
      <c r="C316" s="28">
        <v>0</v>
      </c>
      <c r="D316" s="13">
        <v>389397</v>
      </c>
      <c r="E316" s="13"/>
      <c r="F316" s="13">
        <v>300</v>
      </c>
      <c r="G316" s="13">
        <v>50</v>
      </c>
      <c r="H316" s="13"/>
      <c r="I316" s="13"/>
      <c r="J316" s="13">
        <v>50</v>
      </c>
      <c r="K316" s="13">
        <v>0</v>
      </c>
      <c r="L316" s="24" t="s">
        <v>21</v>
      </c>
      <c r="M316" s="13" t="s">
        <v>320</v>
      </c>
      <c r="N316" s="13">
        <f>IFERROR(VLOOKUP($A:$A,[1]KION_IND_E_COM_LT!$A:$T,18,0),"")</f>
        <v>0</v>
      </c>
      <c r="O316" s="14"/>
      <c r="P316" s="15">
        <f t="shared" si="4"/>
        <v>0</v>
      </c>
      <c r="Q316" s="16"/>
      <c r="R316" s="17">
        <v>6</v>
      </c>
      <c r="S316" s="13" t="s">
        <v>0</v>
      </c>
    </row>
    <row r="317" spans="1:19" x14ac:dyDescent="0.25">
      <c r="A317" s="13">
        <v>978749002</v>
      </c>
      <c r="B317" s="27" t="s">
        <v>142</v>
      </c>
      <c r="C317" s="28">
        <v>0</v>
      </c>
      <c r="D317" s="13">
        <v>389397</v>
      </c>
      <c r="E317" s="13"/>
      <c r="F317" s="13">
        <v>300</v>
      </c>
      <c r="G317" s="13">
        <v>300</v>
      </c>
      <c r="H317" s="13"/>
      <c r="I317" s="13"/>
      <c r="J317" s="13">
        <v>300</v>
      </c>
      <c r="K317" s="13">
        <v>0</v>
      </c>
      <c r="L317" s="24" t="s">
        <v>21</v>
      </c>
      <c r="M317" s="13" t="s">
        <v>320</v>
      </c>
      <c r="N317" s="13">
        <f>IFERROR(VLOOKUP($A:$A,[1]KION_IND_E_COM_LT!$A:$T,18,0),"")</f>
        <v>0</v>
      </c>
      <c r="O317" s="14"/>
      <c r="P317" s="15">
        <f t="shared" si="4"/>
        <v>0</v>
      </c>
      <c r="Q317" s="16"/>
      <c r="R317" s="17">
        <v>6</v>
      </c>
      <c r="S317" s="13" t="s">
        <v>0</v>
      </c>
    </row>
    <row r="318" spans="1:19" x14ac:dyDescent="0.25">
      <c r="A318" s="13">
        <v>978759002</v>
      </c>
      <c r="B318" s="27" t="s">
        <v>143</v>
      </c>
      <c r="C318" s="28">
        <v>0</v>
      </c>
      <c r="D318" s="13">
        <v>389397</v>
      </c>
      <c r="E318" s="13"/>
      <c r="F318" s="13">
        <v>2400</v>
      </c>
      <c r="G318" s="13">
        <v>2400</v>
      </c>
      <c r="H318" s="13"/>
      <c r="I318" s="13"/>
      <c r="J318" s="13">
        <v>2100</v>
      </c>
      <c r="K318" s="13">
        <v>300</v>
      </c>
      <c r="L318" s="24" t="s">
        <v>21</v>
      </c>
      <c r="M318" s="13" t="s">
        <v>320</v>
      </c>
      <c r="N318" s="13">
        <f>IFERROR(VLOOKUP($A:$A,[1]KION_IND_E_COM_LT!$A:$T,18,0),"")</f>
        <v>0</v>
      </c>
      <c r="O318" s="14">
        <v>1</v>
      </c>
      <c r="P318" s="15">
        <f t="shared" si="4"/>
        <v>300</v>
      </c>
      <c r="Q318" s="16">
        <v>44081</v>
      </c>
      <c r="R318" s="17">
        <v>8</v>
      </c>
      <c r="S318" s="13" t="s">
        <v>0</v>
      </c>
    </row>
    <row r="319" spans="1:19" x14ac:dyDescent="0.25">
      <c r="A319" s="13">
        <v>978760001</v>
      </c>
      <c r="B319" s="27" t="s">
        <v>165</v>
      </c>
      <c r="C319" s="28">
        <v>0</v>
      </c>
      <c r="D319" s="13">
        <v>389397</v>
      </c>
      <c r="E319" s="13"/>
      <c r="F319" s="13">
        <v>1200</v>
      </c>
      <c r="G319" s="13">
        <v>300</v>
      </c>
      <c r="H319" s="13"/>
      <c r="I319" s="13"/>
      <c r="J319" s="13"/>
      <c r="K319" s="13">
        <v>300</v>
      </c>
      <c r="L319" s="24" t="s">
        <v>21</v>
      </c>
      <c r="M319" s="13" t="s">
        <v>33</v>
      </c>
      <c r="N319" s="13">
        <f>IFERROR(VLOOKUP($A:$A,[1]KION_IND_E_COM_LT!$A:$T,18,0),"")</f>
        <v>0</v>
      </c>
      <c r="O319" s="14">
        <v>1</v>
      </c>
      <c r="P319" s="15">
        <f t="shared" si="4"/>
        <v>300</v>
      </c>
      <c r="Q319" s="16">
        <v>44074</v>
      </c>
      <c r="R319" s="17">
        <v>7</v>
      </c>
      <c r="S319" s="13" t="s">
        <v>0</v>
      </c>
    </row>
    <row r="320" spans="1:19" x14ac:dyDescent="0.25">
      <c r="A320" s="13">
        <v>978760002</v>
      </c>
      <c r="B320" s="27" t="s">
        <v>165</v>
      </c>
      <c r="C320" s="28">
        <v>0</v>
      </c>
      <c r="D320" s="13">
        <v>389397</v>
      </c>
      <c r="E320" s="13"/>
      <c r="F320" s="13">
        <v>1200</v>
      </c>
      <c r="G320" s="13">
        <v>1200</v>
      </c>
      <c r="H320" s="13"/>
      <c r="I320" s="13"/>
      <c r="J320" s="13"/>
      <c r="K320" s="13">
        <v>1200</v>
      </c>
      <c r="L320" s="22" t="s">
        <v>21</v>
      </c>
      <c r="M320" s="13" t="s">
        <v>320</v>
      </c>
      <c r="N320" s="13">
        <f>IFERROR(VLOOKUP($A:$A,[1]KION_IND_E_COM_LT!$A:$T,18,0),"")</f>
        <v>0</v>
      </c>
      <c r="O320" s="14">
        <v>1</v>
      </c>
      <c r="P320" s="15">
        <f t="shared" si="4"/>
        <v>1200</v>
      </c>
      <c r="Q320" s="16">
        <v>44074</v>
      </c>
      <c r="R320" s="17">
        <v>7</v>
      </c>
      <c r="S320" s="13" t="s">
        <v>0</v>
      </c>
    </row>
    <row r="321" spans="1:19" x14ac:dyDescent="0.25">
      <c r="A321" s="13">
        <v>978810003</v>
      </c>
      <c r="B321" s="27" t="s">
        <v>302</v>
      </c>
      <c r="C321" s="28">
        <v>0</v>
      </c>
      <c r="D321" s="13">
        <v>389397</v>
      </c>
      <c r="E321" s="13"/>
      <c r="F321" s="13">
        <v>150</v>
      </c>
      <c r="G321" s="13">
        <v>150</v>
      </c>
      <c r="H321" s="13"/>
      <c r="I321" s="13"/>
      <c r="J321" s="13"/>
      <c r="K321" s="13">
        <v>150</v>
      </c>
      <c r="L321" s="22" t="s">
        <v>21</v>
      </c>
      <c r="M321" s="13" t="s">
        <v>60</v>
      </c>
      <c r="N321" s="13">
        <f>IFERROR(VLOOKUP($A:$A,[1]KION_IND_E_COM_LT!$A:$T,18,0),"")</f>
        <v>0</v>
      </c>
      <c r="O321" s="14">
        <v>1</v>
      </c>
      <c r="P321" s="15">
        <f t="shared" si="4"/>
        <v>150</v>
      </c>
      <c r="Q321" s="16">
        <v>44067</v>
      </c>
      <c r="R321" s="17">
        <v>6</v>
      </c>
      <c r="S321" s="13" t="s">
        <v>0</v>
      </c>
    </row>
    <row r="322" spans="1:19" x14ac:dyDescent="0.25">
      <c r="A322" s="13">
        <v>978810004</v>
      </c>
      <c r="B322" s="27" t="s">
        <v>302</v>
      </c>
      <c r="C322" s="28">
        <v>0</v>
      </c>
      <c r="D322" s="13">
        <v>389397</v>
      </c>
      <c r="E322" s="13"/>
      <c r="F322" s="13">
        <v>150</v>
      </c>
      <c r="G322" s="13">
        <v>150</v>
      </c>
      <c r="H322" s="13"/>
      <c r="I322" s="13"/>
      <c r="J322" s="13"/>
      <c r="K322" s="13">
        <v>150</v>
      </c>
      <c r="L322" s="22" t="s">
        <v>21</v>
      </c>
      <c r="M322" s="13" t="s">
        <v>60</v>
      </c>
      <c r="N322" s="13">
        <f>IFERROR(VLOOKUP($A:$A,[1]KION_IND_E_COM_LT!$A:$T,18,0),"")</f>
        <v>0</v>
      </c>
      <c r="O322" s="14">
        <v>1</v>
      </c>
      <c r="P322" s="15">
        <f t="shared" si="4"/>
        <v>150</v>
      </c>
      <c r="Q322" s="16">
        <v>44074</v>
      </c>
      <c r="R322" s="17">
        <v>7</v>
      </c>
      <c r="S322" s="13" t="s">
        <v>0</v>
      </c>
    </row>
    <row r="323" spans="1:19" x14ac:dyDescent="0.25">
      <c r="A323" s="13">
        <v>978811001</v>
      </c>
      <c r="B323" s="27" t="s">
        <v>151</v>
      </c>
      <c r="C323" s="28">
        <v>2</v>
      </c>
      <c r="D323" s="13">
        <v>389397</v>
      </c>
      <c r="E323" s="13"/>
      <c r="F323" s="13">
        <v>400</v>
      </c>
      <c r="G323" s="13">
        <v>250</v>
      </c>
      <c r="H323" s="13"/>
      <c r="I323" s="13"/>
      <c r="J323" s="13">
        <v>250</v>
      </c>
      <c r="K323" s="13">
        <v>0</v>
      </c>
      <c r="L323" s="24" t="s">
        <v>21</v>
      </c>
      <c r="M323" s="13" t="s">
        <v>320</v>
      </c>
      <c r="N323" s="13">
        <f>IFERROR(VLOOKUP($A:$A,[1]KION_IND_E_COM_LT!$A:$T,18,0),"")</f>
        <v>0</v>
      </c>
      <c r="O323" s="14"/>
      <c r="P323" s="15">
        <f t="shared" ref="P323:P386" si="5">K323*O323</f>
        <v>0</v>
      </c>
      <c r="Q323" s="16"/>
      <c r="R323" s="17">
        <v>6</v>
      </c>
      <c r="S323" s="13" t="s">
        <v>0</v>
      </c>
    </row>
    <row r="324" spans="1:19" x14ac:dyDescent="0.25">
      <c r="A324" s="13">
        <v>978811002</v>
      </c>
      <c r="B324" s="27" t="s">
        <v>151</v>
      </c>
      <c r="C324" s="28">
        <v>2</v>
      </c>
      <c r="D324" s="13">
        <v>389397</v>
      </c>
      <c r="E324" s="13"/>
      <c r="F324" s="13">
        <v>300</v>
      </c>
      <c r="G324" s="13">
        <v>300</v>
      </c>
      <c r="H324" s="13"/>
      <c r="I324" s="13"/>
      <c r="J324" s="13"/>
      <c r="K324" s="13">
        <v>300</v>
      </c>
      <c r="L324" s="22" t="s">
        <v>21</v>
      </c>
      <c r="M324" s="13" t="s">
        <v>60</v>
      </c>
      <c r="N324" s="13">
        <f>IFERROR(VLOOKUP($A:$A,[1]KION_IND_E_COM_LT!$A:$T,18,0),"")</f>
        <v>0</v>
      </c>
      <c r="O324" s="14">
        <v>1</v>
      </c>
      <c r="P324" s="15">
        <f t="shared" si="5"/>
        <v>300</v>
      </c>
      <c r="Q324" s="16">
        <v>44067</v>
      </c>
      <c r="R324" s="17">
        <v>6</v>
      </c>
      <c r="S324" s="13" t="s">
        <v>0</v>
      </c>
    </row>
    <row r="325" spans="1:19" x14ac:dyDescent="0.25">
      <c r="A325" s="13">
        <v>978858002</v>
      </c>
      <c r="B325" s="27" t="s">
        <v>145</v>
      </c>
      <c r="C325" s="28">
        <v>1</v>
      </c>
      <c r="D325" s="13">
        <v>389397</v>
      </c>
      <c r="E325" s="13"/>
      <c r="F325" s="13">
        <v>300</v>
      </c>
      <c r="G325" s="13">
        <v>300</v>
      </c>
      <c r="H325" s="13"/>
      <c r="I325" s="13"/>
      <c r="J325" s="13">
        <v>300</v>
      </c>
      <c r="K325" s="13">
        <v>0</v>
      </c>
      <c r="L325" s="22" t="s">
        <v>21</v>
      </c>
      <c r="M325" s="22" t="s">
        <v>60</v>
      </c>
      <c r="N325" s="13">
        <f>IFERROR(VLOOKUP($A:$A,[1]KION_IND_E_COM_LT!$A:$T,18,0),"")</f>
        <v>0</v>
      </c>
      <c r="O325" s="14"/>
      <c r="P325" s="15">
        <f t="shared" si="5"/>
        <v>0</v>
      </c>
      <c r="Q325" s="16"/>
      <c r="R325" s="17">
        <v>6</v>
      </c>
      <c r="S325" s="13" t="s">
        <v>0</v>
      </c>
    </row>
    <row r="326" spans="1:19" x14ac:dyDescent="0.25">
      <c r="A326" s="13">
        <v>978861002</v>
      </c>
      <c r="B326" s="27" t="s">
        <v>137</v>
      </c>
      <c r="C326" s="28">
        <v>0</v>
      </c>
      <c r="D326" s="13">
        <v>389397</v>
      </c>
      <c r="E326" s="13"/>
      <c r="F326" s="13">
        <v>150</v>
      </c>
      <c r="G326" s="13">
        <v>100</v>
      </c>
      <c r="H326" s="13"/>
      <c r="I326" s="13"/>
      <c r="J326" s="13">
        <v>50</v>
      </c>
      <c r="K326" s="13">
        <v>50</v>
      </c>
      <c r="L326" s="24" t="s">
        <v>21</v>
      </c>
      <c r="M326" s="13" t="s">
        <v>32</v>
      </c>
      <c r="N326" s="22" t="s">
        <v>64</v>
      </c>
      <c r="O326" s="14">
        <v>1</v>
      </c>
      <c r="P326" s="15">
        <f t="shared" si="5"/>
        <v>50</v>
      </c>
      <c r="Q326" s="16">
        <v>44053</v>
      </c>
      <c r="R326" s="17">
        <v>4</v>
      </c>
      <c r="S326" s="13" t="s">
        <v>0</v>
      </c>
    </row>
    <row r="327" spans="1:19" x14ac:dyDescent="0.25">
      <c r="A327" s="13">
        <v>978861003</v>
      </c>
      <c r="B327" s="27" t="s">
        <v>137</v>
      </c>
      <c r="C327" s="28">
        <v>0</v>
      </c>
      <c r="D327" s="13">
        <v>389397</v>
      </c>
      <c r="E327" s="13"/>
      <c r="F327" s="13">
        <v>150</v>
      </c>
      <c r="G327" s="13">
        <v>150</v>
      </c>
      <c r="H327" s="13"/>
      <c r="I327" s="13"/>
      <c r="J327" s="13">
        <v>50</v>
      </c>
      <c r="K327" s="13">
        <v>100</v>
      </c>
      <c r="L327" s="24" t="s">
        <v>21</v>
      </c>
      <c r="M327" s="13" t="s">
        <v>320</v>
      </c>
      <c r="N327" s="22" t="s">
        <v>64</v>
      </c>
      <c r="O327" s="14">
        <v>1</v>
      </c>
      <c r="P327" s="15">
        <f t="shared" si="5"/>
        <v>100</v>
      </c>
      <c r="Q327" s="16">
        <v>44067</v>
      </c>
      <c r="R327" s="17">
        <v>6</v>
      </c>
      <c r="S327" s="13" t="s">
        <v>0</v>
      </c>
    </row>
    <row r="328" spans="1:19" x14ac:dyDescent="0.25">
      <c r="A328" s="13">
        <v>978861004</v>
      </c>
      <c r="B328" s="27" t="s">
        <v>137</v>
      </c>
      <c r="C328" s="28">
        <v>0</v>
      </c>
      <c r="D328" s="13">
        <v>389397</v>
      </c>
      <c r="E328" s="13"/>
      <c r="F328" s="13">
        <v>150</v>
      </c>
      <c r="G328" s="13">
        <v>50</v>
      </c>
      <c r="H328" s="13"/>
      <c r="I328" s="13"/>
      <c r="J328" s="13">
        <v>50</v>
      </c>
      <c r="K328" s="13">
        <v>0</v>
      </c>
      <c r="L328" s="22" t="s">
        <v>21</v>
      </c>
      <c r="M328" s="22" t="s">
        <v>59</v>
      </c>
      <c r="N328" s="13">
        <f>IFERROR(VLOOKUP($A:$A,[1]KION_IND_E_COM_LT!$A:$T,18,0),"")</f>
        <v>0</v>
      </c>
      <c r="O328" s="14"/>
      <c r="P328" s="15">
        <f t="shared" si="5"/>
        <v>0</v>
      </c>
      <c r="Q328" s="16"/>
      <c r="R328" s="17">
        <v>4</v>
      </c>
      <c r="S328" s="13" t="s">
        <v>0</v>
      </c>
    </row>
    <row r="329" spans="1:19" x14ac:dyDescent="0.25">
      <c r="A329" s="13">
        <v>978882002</v>
      </c>
      <c r="B329" s="27" t="s">
        <v>162</v>
      </c>
      <c r="C329" s="28">
        <v>0</v>
      </c>
      <c r="D329" s="13">
        <v>389397</v>
      </c>
      <c r="E329" s="13"/>
      <c r="F329" s="13">
        <v>300</v>
      </c>
      <c r="G329" s="13">
        <v>300</v>
      </c>
      <c r="H329" s="13"/>
      <c r="I329" s="13"/>
      <c r="J329" s="13">
        <v>300</v>
      </c>
      <c r="K329" s="13">
        <v>0</v>
      </c>
      <c r="L329" s="22" t="s">
        <v>21</v>
      </c>
      <c r="M329" s="22" t="s">
        <v>60</v>
      </c>
      <c r="N329" s="13">
        <f>IFERROR(VLOOKUP($A:$A,[1]KION_IND_E_COM_LT!$A:$T,18,0),"")</f>
        <v>0</v>
      </c>
      <c r="O329" s="14"/>
      <c r="P329" s="15">
        <f t="shared" si="5"/>
        <v>0</v>
      </c>
      <c r="Q329" s="16"/>
      <c r="R329" s="17">
        <v>7</v>
      </c>
      <c r="S329" s="13" t="s">
        <v>0</v>
      </c>
    </row>
    <row r="330" spans="1:19" x14ac:dyDescent="0.25">
      <c r="A330" s="13">
        <v>978886002</v>
      </c>
      <c r="B330" s="27" t="s">
        <v>161</v>
      </c>
      <c r="C330" s="28">
        <v>0</v>
      </c>
      <c r="D330" s="13">
        <v>389680</v>
      </c>
      <c r="E330" s="13"/>
      <c r="F330" s="13">
        <v>300</v>
      </c>
      <c r="G330" s="13">
        <v>300</v>
      </c>
      <c r="H330" s="13"/>
      <c r="I330" s="13"/>
      <c r="J330" s="13">
        <v>300</v>
      </c>
      <c r="K330" s="13">
        <v>0</v>
      </c>
      <c r="L330" s="24" t="s">
        <v>21</v>
      </c>
      <c r="M330" s="13" t="s">
        <v>320</v>
      </c>
      <c r="N330" s="13">
        <f>IFERROR(VLOOKUP($A:$A,[1]KION_IND_E_COM_LT!$A:$T,18,0),"")</f>
        <v>0</v>
      </c>
      <c r="O330" s="14"/>
      <c r="P330" s="15">
        <f t="shared" si="5"/>
        <v>0</v>
      </c>
      <c r="Q330" s="16"/>
      <c r="R330" s="17">
        <v>7</v>
      </c>
      <c r="S330" s="13" t="s">
        <v>0</v>
      </c>
    </row>
    <row r="331" spans="1:19" x14ac:dyDescent="0.25">
      <c r="A331" s="13">
        <v>979084001</v>
      </c>
      <c r="B331" s="27" t="s">
        <v>87</v>
      </c>
      <c r="C331" s="28">
        <v>4</v>
      </c>
      <c r="D331" s="13">
        <v>389397</v>
      </c>
      <c r="E331" s="13"/>
      <c r="F331" s="13">
        <v>50</v>
      </c>
      <c r="G331" s="13">
        <v>50</v>
      </c>
      <c r="H331" s="13"/>
      <c r="I331" s="13"/>
      <c r="J331" s="13"/>
      <c r="K331" s="13">
        <v>50</v>
      </c>
      <c r="L331" s="23"/>
      <c r="M331" s="13" t="s">
        <v>23</v>
      </c>
      <c r="N331" s="13">
        <f>IFERROR(VLOOKUP($A:$A,[1]KION_IND_E_COM_LT!$A:$T,18,0),"")</f>
        <v>0</v>
      </c>
      <c r="O331" s="14">
        <v>1</v>
      </c>
      <c r="P331" s="15">
        <f t="shared" si="5"/>
        <v>50</v>
      </c>
      <c r="Q331" s="16" t="s">
        <v>3</v>
      </c>
      <c r="R331" s="17" t="s">
        <v>3</v>
      </c>
      <c r="S331" s="13" t="s">
        <v>0</v>
      </c>
    </row>
    <row r="332" spans="1:19" x14ac:dyDescent="0.25">
      <c r="A332" s="13">
        <v>979090001</v>
      </c>
      <c r="B332" s="27" t="s">
        <v>78</v>
      </c>
      <c r="C332" s="28">
        <v>1</v>
      </c>
      <c r="D332" s="13">
        <v>389397</v>
      </c>
      <c r="E332" s="13"/>
      <c r="F332" s="13">
        <v>150</v>
      </c>
      <c r="G332" s="13">
        <v>150</v>
      </c>
      <c r="H332" s="13"/>
      <c r="I332" s="13"/>
      <c r="J332" s="13"/>
      <c r="K332" s="13">
        <v>150</v>
      </c>
      <c r="L332" s="23"/>
      <c r="M332" s="13" t="s">
        <v>23</v>
      </c>
      <c r="N332" s="13">
        <f>IFERROR(VLOOKUP($A:$A,[1]KION_IND_E_COM_LT!$A:$T,18,0),"")</f>
        <v>0</v>
      </c>
      <c r="O332" s="14">
        <v>1</v>
      </c>
      <c r="P332" s="15">
        <f t="shared" si="5"/>
        <v>150</v>
      </c>
      <c r="Q332" s="16" t="s">
        <v>3</v>
      </c>
      <c r="R332" s="17" t="s">
        <v>3</v>
      </c>
      <c r="S332" s="13" t="s">
        <v>0</v>
      </c>
    </row>
    <row r="333" spans="1:19" x14ac:dyDescent="0.25">
      <c r="A333" s="13">
        <v>979091001</v>
      </c>
      <c r="B333" s="27" t="s">
        <v>112</v>
      </c>
      <c r="C333" s="28">
        <v>1</v>
      </c>
      <c r="D333" s="13">
        <v>389397</v>
      </c>
      <c r="E333" s="13"/>
      <c r="F333" s="13">
        <v>80</v>
      </c>
      <c r="G333" s="13">
        <v>80</v>
      </c>
      <c r="H333" s="13"/>
      <c r="I333" s="13"/>
      <c r="J333" s="13"/>
      <c r="K333" s="13">
        <v>80</v>
      </c>
      <c r="L333" s="23"/>
      <c r="M333" s="13" t="s">
        <v>23</v>
      </c>
      <c r="N333" s="13">
        <f>IFERROR(VLOOKUP($A:$A,[1]KION_IND_E_COM_LT!$A:$T,18,0),"")</f>
        <v>0</v>
      </c>
      <c r="O333" s="14">
        <v>1</v>
      </c>
      <c r="P333" s="15">
        <f t="shared" si="5"/>
        <v>80</v>
      </c>
      <c r="Q333" s="16" t="s">
        <v>3</v>
      </c>
      <c r="R333" s="17" t="s">
        <v>3</v>
      </c>
      <c r="S333" s="13" t="s">
        <v>0</v>
      </c>
    </row>
    <row r="334" spans="1:19" x14ac:dyDescent="0.25">
      <c r="A334" s="13">
        <v>979092001</v>
      </c>
      <c r="B334" s="27" t="s">
        <v>113</v>
      </c>
      <c r="C334" s="28">
        <v>1</v>
      </c>
      <c r="D334" s="13">
        <v>389397</v>
      </c>
      <c r="E334" s="13"/>
      <c r="F334" s="13">
        <v>70</v>
      </c>
      <c r="G334" s="13">
        <v>70</v>
      </c>
      <c r="H334" s="13"/>
      <c r="I334" s="13"/>
      <c r="J334" s="13"/>
      <c r="K334" s="13">
        <v>70</v>
      </c>
      <c r="L334" s="23"/>
      <c r="M334" s="13" t="s">
        <v>23</v>
      </c>
      <c r="N334" s="13">
        <f>IFERROR(VLOOKUP($A:$A,[1]KION_IND_E_COM_LT!$A:$T,18,0),"")</f>
        <v>0</v>
      </c>
      <c r="O334" s="14">
        <v>1</v>
      </c>
      <c r="P334" s="15">
        <f t="shared" si="5"/>
        <v>70</v>
      </c>
      <c r="Q334" s="16" t="s">
        <v>3</v>
      </c>
      <c r="R334" s="17" t="s">
        <v>3</v>
      </c>
      <c r="S334" s="13" t="s">
        <v>0</v>
      </c>
    </row>
    <row r="335" spans="1:19" x14ac:dyDescent="0.25">
      <c r="A335" s="13">
        <v>979093001</v>
      </c>
      <c r="B335" s="27" t="s">
        <v>174</v>
      </c>
      <c r="C335" s="28">
        <v>2</v>
      </c>
      <c r="D335" s="13">
        <v>389397</v>
      </c>
      <c r="E335" s="13"/>
      <c r="F335" s="13">
        <v>90</v>
      </c>
      <c r="G335" s="13">
        <v>90</v>
      </c>
      <c r="H335" s="13"/>
      <c r="I335" s="13"/>
      <c r="J335" s="13"/>
      <c r="K335" s="13">
        <v>90</v>
      </c>
      <c r="L335" s="23"/>
      <c r="M335" s="13" t="s">
        <v>23</v>
      </c>
      <c r="N335" s="13">
        <f>IFERROR(VLOOKUP($A:$A,[1]KION_IND_E_COM_LT!$A:$T,18,0),"")</f>
        <v>0</v>
      </c>
      <c r="O335" s="14">
        <v>1</v>
      </c>
      <c r="P335" s="15">
        <f t="shared" si="5"/>
        <v>90</v>
      </c>
      <c r="Q335" s="16" t="s">
        <v>3</v>
      </c>
      <c r="R335" s="17" t="s">
        <v>3</v>
      </c>
      <c r="S335" s="13" t="s">
        <v>0</v>
      </c>
    </row>
    <row r="336" spans="1:19" x14ac:dyDescent="0.25">
      <c r="A336" s="13">
        <v>979103001</v>
      </c>
      <c r="B336" s="27" t="s">
        <v>144</v>
      </c>
      <c r="C336" s="28">
        <v>1</v>
      </c>
      <c r="D336" s="13">
        <v>389397</v>
      </c>
      <c r="E336" s="13"/>
      <c r="F336" s="13">
        <v>90</v>
      </c>
      <c r="G336" s="13">
        <v>90</v>
      </c>
      <c r="H336" s="13"/>
      <c r="I336" s="13"/>
      <c r="J336" s="13"/>
      <c r="K336" s="13">
        <v>90</v>
      </c>
      <c r="L336" s="23"/>
      <c r="M336" s="13" t="s">
        <v>23</v>
      </c>
      <c r="N336" s="13">
        <f>IFERROR(VLOOKUP($A:$A,[1]KION_IND_E_COM_LT!$A:$T,18,0),"")</f>
        <v>0</v>
      </c>
      <c r="O336" s="14">
        <v>1</v>
      </c>
      <c r="P336" s="15">
        <f t="shared" si="5"/>
        <v>90</v>
      </c>
      <c r="Q336" s="16" t="s">
        <v>3</v>
      </c>
      <c r="R336" s="17" t="s">
        <v>3</v>
      </c>
      <c r="S336" s="13" t="s">
        <v>0</v>
      </c>
    </row>
    <row r="337" spans="1:19" x14ac:dyDescent="0.25">
      <c r="A337" s="13">
        <v>979105001</v>
      </c>
      <c r="B337" s="27" t="s">
        <v>176</v>
      </c>
      <c r="C337" s="28">
        <v>1</v>
      </c>
      <c r="D337" s="13">
        <v>389397</v>
      </c>
      <c r="E337" s="13"/>
      <c r="F337" s="13">
        <v>90</v>
      </c>
      <c r="G337" s="13">
        <v>90</v>
      </c>
      <c r="H337" s="13"/>
      <c r="I337" s="13"/>
      <c r="J337" s="13"/>
      <c r="K337" s="13">
        <v>90</v>
      </c>
      <c r="L337" s="24" t="s">
        <v>21</v>
      </c>
      <c r="M337" s="13" t="s">
        <v>320</v>
      </c>
      <c r="N337" s="13">
        <f>IFERROR(VLOOKUP($A:$A,[1]KION_IND_E_COM_LT!$A:$T,18,0),"")</f>
        <v>0</v>
      </c>
      <c r="O337" s="14">
        <v>1</v>
      </c>
      <c r="P337" s="15">
        <f t="shared" si="5"/>
        <v>90</v>
      </c>
      <c r="Q337" s="16" t="s">
        <v>3</v>
      </c>
      <c r="R337" s="17" t="s">
        <v>3</v>
      </c>
      <c r="S337" s="13" t="s">
        <v>0</v>
      </c>
    </row>
    <row r="338" spans="1:19" x14ac:dyDescent="0.25">
      <c r="A338" s="13">
        <v>979108001</v>
      </c>
      <c r="B338" s="27" t="s">
        <v>81</v>
      </c>
      <c r="C338" s="28">
        <v>0</v>
      </c>
      <c r="D338" s="13">
        <v>389397</v>
      </c>
      <c r="E338" s="13"/>
      <c r="F338" s="13">
        <v>80</v>
      </c>
      <c r="G338" s="13">
        <v>80</v>
      </c>
      <c r="H338" s="13"/>
      <c r="I338" s="13"/>
      <c r="J338" s="13"/>
      <c r="K338" s="13">
        <v>80</v>
      </c>
      <c r="L338" s="23"/>
      <c r="M338" s="13" t="s">
        <v>23</v>
      </c>
      <c r="N338" s="13">
        <f>IFERROR(VLOOKUP($A:$A,[1]KION_IND_E_COM_LT!$A:$T,18,0),"")</f>
        <v>0</v>
      </c>
      <c r="O338" s="14">
        <v>1</v>
      </c>
      <c r="P338" s="15">
        <f t="shared" si="5"/>
        <v>80</v>
      </c>
      <c r="Q338" s="16" t="s">
        <v>3</v>
      </c>
      <c r="R338" s="17" t="s">
        <v>3</v>
      </c>
      <c r="S338" s="13" t="s">
        <v>0</v>
      </c>
    </row>
    <row r="339" spans="1:19" x14ac:dyDescent="0.25">
      <c r="A339" s="13">
        <v>979109001</v>
      </c>
      <c r="B339" s="27" t="s">
        <v>82</v>
      </c>
      <c r="C339" s="28">
        <v>0</v>
      </c>
      <c r="D339" s="13">
        <v>389397</v>
      </c>
      <c r="E339" s="13"/>
      <c r="F339" s="13">
        <v>100</v>
      </c>
      <c r="G339" s="13">
        <v>100</v>
      </c>
      <c r="H339" s="13"/>
      <c r="I339" s="13"/>
      <c r="J339" s="13"/>
      <c r="K339" s="13">
        <v>100</v>
      </c>
      <c r="L339" s="24" t="s">
        <v>21</v>
      </c>
      <c r="M339" s="13" t="s">
        <v>320</v>
      </c>
      <c r="N339" s="13">
        <f>IFERROR(VLOOKUP($A:$A,[1]KION_IND_E_COM_LT!$A:$T,18,0),"")</f>
        <v>0</v>
      </c>
      <c r="O339" s="14">
        <v>1</v>
      </c>
      <c r="P339" s="15">
        <f t="shared" si="5"/>
        <v>100</v>
      </c>
      <c r="Q339" s="16" t="s">
        <v>3</v>
      </c>
      <c r="R339" s="17" t="s">
        <v>3</v>
      </c>
      <c r="S339" s="13" t="s">
        <v>0</v>
      </c>
    </row>
    <row r="340" spans="1:19" x14ac:dyDescent="0.25">
      <c r="A340" s="13">
        <v>979110001</v>
      </c>
      <c r="B340" s="27" t="s">
        <v>108</v>
      </c>
      <c r="C340" s="28">
        <v>3</v>
      </c>
      <c r="D340" s="13">
        <v>389397</v>
      </c>
      <c r="E340" s="13"/>
      <c r="F340" s="13">
        <v>80</v>
      </c>
      <c r="G340" s="13">
        <v>80</v>
      </c>
      <c r="H340" s="13"/>
      <c r="I340" s="13"/>
      <c r="J340" s="13"/>
      <c r="K340" s="13">
        <v>80</v>
      </c>
      <c r="L340" s="23"/>
      <c r="M340" s="13" t="s">
        <v>23</v>
      </c>
      <c r="N340" s="13">
        <f>IFERROR(VLOOKUP($A:$A,[1]KION_IND_E_COM_LT!$A:$T,18,0),"")</f>
        <v>0</v>
      </c>
      <c r="O340" s="14">
        <v>1</v>
      </c>
      <c r="P340" s="15">
        <f t="shared" si="5"/>
        <v>80</v>
      </c>
      <c r="Q340" s="16" t="s">
        <v>3</v>
      </c>
      <c r="R340" s="17" t="s">
        <v>3</v>
      </c>
      <c r="S340" s="13" t="s">
        <v>0</v>
      </c>
    </row>
    <row r="341" spans="1:19" x14ac:dyDescent="0.25">
      <c r="A341" s="13">
        <v>979115001</v>
      </c>
      <c r="B341" s="27" t="s">
        <v>120</v>
      </c>
      <c r="C341" s="28">
        <v>8</v>
      </c>
      <c r="D341" s="13">
        <v>389397</v>
      </c>
      <c r="E341" s="13"/>
      <c r="F341" s="13">
        <v>100</v>
      </c>
      <c r="G341" s="13">
        <v>100</v>
      </c>
      <c r="H341" s="13"/>
      <c r="I341" s="13"/>
      <c r="J341" s="13"/>
      <c r="K341" s="13">
        <v>100</v>
      </c>
      <c r="L341" s="23"/>
      <c r="M341" s="13" t="s">
        <v>23</v>
      </c>
      <c r="N341" s="13">
        <f>IFERROR(VLOOKUP($A:$A,[1]KION_IND_E_COM_LT!$A:$T,18,0),"")</f>
        <v>0</v>
      </c>
      <c r="O341" s="14">
        <v>1</v>
      </c>
      <c r="P341" s="15">
        <f t="shared" si="5"/>
        <v>100</v>
      </c>
      <c r="Q341" s="16" t="s">
        <v>3</v>
      </c>
      <c r="R341" s="17" t="s">
        <v>3</v>
      </c>
      <c r="S341" s="13" t="s">
        <v>0</v>
      </c>
    </row>
    <row r="342" spans="1:19" x14ac:dyDescent="0.25">
      <c r="A342" s="13">
        <v>979119001</v>
      </c>
      <c r="B342" s="27" t="s">
        <v>68</v>
      </c>
      <c r="C342" s="28">
        <v>0</v>
      </c>
      <c r="D342" s="13">
        <v>389397</v>
      </c>
      <c r="E342" s="13"/>
      <c r="F342" s="13">
        <v>170</v>
      </c>
      <c r="G342" s="13">
        <v>170</v>
      </c>
      <c r="H342" s="13"/>
      <c r="I342" s="13"/>
      <c r="J342" s="13"/>
      <c r="K342" s="13">
        <v>170</v>
      </c>
      <c r="L342" s="23"/>
      <c r="M342" s="13" t="s">
        <v>23</v>
      </c>
      <c r="N342" s="13">
        <f>IFERROR(VLOOKUP($A:$A,[1]KION_IND_E_COM_LT!$A:$T,18,0),"")</f>
        <v>0</v>
      </c>
      <c r="O342" s="14">
        <v>1</v>
      </c>
      <c r="P342" s="15">
        <f t="shared" si="5"/>
        <v>170</v>
      </c>
      <c r="Q342" s="16">
        <v>44081</v>
      </c>
      <c r="R342" s="17">
        <v>9</v>
      </c>
      <c r="S342" s="13" t="s">
        <v>0</v>
      </c>
    </row>
    <row r="343" spans="1:19" x14ac:dyDescent="0.25">
      <c r="A343" s="13">
        <v>979181001</v>
      </c>
      <c r="B343" s="27" t="s">
        <v>182</v>
      </c>
      <c r="C343" s="28">
        <v>0</v>
      </c>
      <c r="D343" s="13">
        <v>389397</v>
      </c>
      <c r="E343" s="13"/>
      <c r="F343" s="13">
        <v>80</v>
      </c>
      <c r="G343" s="13">
        <v>80</v>
      </c>
      <c r="H343" s="13"/>
      <c r="I343" s="13"/>
      <c r="J343" s="13"/>
      <c r="K343" s="13">
        <v>80</v>
      </c>
      <c r="L343" s="23"/>
      <c r="M343" s="13" t="s">
        <v>23</v>
      </c>
      <c r="N343" s="13">
        <f>IFERROR(VLOOKUP($A:$A,[1]KION_IND_E_COM_LT!$A:$T,18,0),"")</f>
        <v>0</v>
      </c>
      <c r="O343" s="14">
        <v>1</v>
      </c>
      <c r="P343" s="15">
        <f t="shared" si="5"/>
        <v>80</v>
      </c>
      <c r="Q343" s="16" t="s">
        <v>3</v>
      </c>
      <c r="R343" s="17" t="s">
        <v>3</v>
      </c>
      <c r="S343" s="13" t="s">
        <v>0</v>
      </c>
    </row>
    <row r="344" spans="1:19" x14ac:dyDescent="0.25">
      <c r="A344" s="13">
        <v>979182001</v>
      </c>
      <c r="B344" s="27" t="s">
        <v>183</v>
      </c>
      <c r="C344" s="28">
        <v>0</v>
      </c>
      <c r="D344" s="13">
        <v>389397</v>
      </c>
      <c r="E344" s="13"/>
      <c r="F344" s="13">
        <v>80</v>
      </c>
      <c r="G344" s="13">
        <v>80</v>
      </c>
      <c r="H344" s="13"/>
      <c r="I344" s="13"/>
      <c r="J344" s="13"/>
      <c r="K344" s="13">
        <v>80</v>
      </c>
      <c r="L344" s="23"/>
      <c r="M344" s="13" t="s">
        <v>23</v>
      </c>
      <c r="N344" s="13">
        <f>IFERROR(VLOOKUP($A:$A,[1]KION_IND_E_COM_LT!$A:$T,18,0),"")</f>
        <v>0</v>
      </c>
      <c r="O344" s="14">
        <v>1</v>
      </c>
      <c r="P344" s="15">
        <f t="shared" si="5"/>
        <v>80</v>
      </c>
      <c r="Q344" s="16" t="s">
        <v>3</v>
      </c>
      <c r="R344" s="17" t="s">
        <v>3</v>
      </c>
      <c r="S344" s="13" t="s">
        <v>0</v>
      </c>
    </row>
    <row r="345" spans="1:19" x14ac:dyDescent="0.25">
      <c r="A345" s="13">
        <v>979186001</v>
      </c>
      <c r="B345" s="27" t="s">
        <v>185</v>
      </c>
      <c r="C345" s="28">
        <v>0</v>
      </c>
      <c r="D345" s="13">
        <v>389397</v>
      </c>
      <c r="E345" s="13"/>
      <c r="F345" s="13">
        <v>10</v>
      </c>
      <c r="G345" s="13">
        <v>10</v>
      </c>
      <c r="H345" s="13"/>
      <c r="I345" s="13"/>
      <c r="J345" s="13"/>
      <c r="K345" s="13">
        <v>10</v>
      </c>
      <c r="L345" s="23"/>
      <c r="M345" s="13" t="s">
        <v>23</v>
      </c>
      <c r="N345" s="13">
        <f>IFERROR(VLOOKUP($A:$A,[1]KION_IND_E_COM_LT!$A:$T,18,0),"")</f>
        <v>0</v>
      </c>
      <c r="O345" s="14">
        <v>1</v>
      </c>
      <c r="P345" s="15">
        <f t="shared" si="5"/>
        <v>10</v>
      </c>
      <c r="Q345" s="16" t="s">
        <v>3</v>
      </c>
      <c r="R345" s="17" t="s">
        <v>3</v>
      </c>
      <c r="S345" s="13" t="s">
        <v>0</v>
      </c>
    </row>
    <row r="346" spans="1:19" x14ac:dyDescent="0.25">
      <c r="A346" s="13">
        <v>979190001</v>
      </c>
      <c r="B346" s="27" t="s">
        <v>299</v>
      </c>
      <c r="C346" s="28">
        <v>3</v>
      </c>
      <c r="D346" s="13">
        <v>389397</v>
      </c>
      <c r="E346" s="13"/>
      <c r="F346" s="13">
        <v>80</v>
      </c>
      <c r="G346" s="13">
        <v>80</v>
      </c>
      <c r="H346" s="13"/>
      <c r="I346" s="13"/>
      <c r="J346" s="13"/>
      <c r="K346" s="13">
        <v>80</v>
      </c>
      <c r="L346" s="23"/>
      <c r="M346" s="13" t="s">
        <v>23</v>
      </c>
      <c r="N346" s="13">
        <f>IFERROR(VLOOKUP($A:$A,[1]KION_IND_E_COM_LT!$A:$T,18,0),"")</f>
        <v>0</v>
      </c>
      <c r="O346" s="14">
        <v>1</v>
      </c>
      <c r="P346" s="15">
        <f t="shared" si="5"/>
        <v>80</v>
      </c>
      <c r="Q346" s="16" t="s">
        <v>3</v>
      </c>
      <c r="R346" s="17" t="s">
        <v>3</v>
      </c>
      <c r="S346" s="13" t="s">
        <v>0</v>
      </c>
    </row>
    <row r="347" spans="1:19" x14ac:dyDescent="0.25">
      <c r="A347" s="13">
        <v>979205001</v>
      </c>
      <c r="B347" s="27" t="s">
        <v>186</v>
      </c>
      <c r="C347" s="28">
        <v>1</v>
      </c>
      <c r="D347" s="13">
        <v>389397</v>
      </c>
      <c r="E347" s="13"/>
      <c r="F347" s="13">
        <v>190</v>
      </c>
      <c r="G347" s="13">
        <v>190</v>
      </c>
      <c r="H347" s="13"/>
      <c r="I347" s="13"/>
      <c r="J347" s="13"/>
      <c r="K347" s="13">
        <v>190</v>
      </c>
      <c r="L347" s="23"/>
      <c r="M347" s="13" t="s">
        <v>23</v>
      </c>
      <c r="N347" s="13">
        <f>IFERROR(VLOOKUP($A:$A,[1]KION_IND_E_COM_LT!$A:$T,18,0),"")</f>
        <v>0</v>
      </c>
      <c r="O347" s="14">
        <v>1</v>
      </c>
      <c r="P347" s="15">
        <f t="shared" si="5"/>
        <v>190</v>
      </c>
      <c r="Q347" s="16" t="s">
        <v>3</v>
      </c>
      <c r="R347" s="17" t="s">
        <v>3</v>
      </c>
      <c r="S347" s="13" t="s">
        <v>0</v>
      </c>
    </row>
    <row r="348" spans="1:19" x14ac:dyDescent="0.25">
      <c r="A348" s="13">
        <v>979213001</v>
      </c>
      <c r="B348" s="27" t="s">
        <v>293</v>
      </c>
      <c r="C348" s="28">
        <v>4</v>
      </c>
      <c r="D348" s="13">
        <v>389397</v>
      </c>
      <c r="E348" s="13"/>
      <c r="F348" s="13">
        <v>100</v>
      </c>
      <c r="G348" s="13">
        <v>100</v>
      </c>
      <c r="H348" s="13"/>
      <c r="I348" s="13"/>
      <c r="J348" s="13"/>
      <c r="K348" s="13">
        <v>100</v>
      </c>
      <c r="L348" s="23"/>
      <c r="M348" s="13" t="s">
        <v>23</v>
      </c>
      <c r="N348" s="13">
        <f>IFERROR(VLOOKUP($A:$A,[1]KION_IND_E_COM_LT!$A:$T,18,0),"")</f>
        <v>0</v>
      </c>
      <c r="O348" s="14">
        <v>1</v>
      </c>
      <c r="P348" s="15">
        <f t="shared" si="5"/>
        <v>100</v>
      </c>
      <c r="Q348" s="16" t="s">
        <v>3</v>
      </c>
      <c r="R348" s="17" t="s">
        <v>3</v>
      </c>
      <c r="S348" s="13" t="s">
        <v>0</v>
      </c>
    </row>
    <row r="349" spans="1:19" x14ac:dyDescent="0.25">
      <c r="A349" s="13">
        <v>979223001</v>
      </c>
      <c r="B349" s="27" t="s">
        <v>297</v>
      </c>
      <c r="C349" s="28">
        <v>3</v>
      </c>
      <c r="D349" s="13">
        <v>389397</v>
      </c>
      <c r="E349" s="13"/>
      <c r="F349" s="13">
        <v>90</v>
      </c>
      <c r="G349" s="13">
        <v>90</v>
      </c>
      <c r="H349" s="13"/>
      <c r="I349" s="13"/>
      <c r="J349" s="13"/>
      <c r="K349" s="13">
        <v>90</v>
      </c>
      <c r="L349" s="23"/>
      <c r="M349" s="13" t="s">
        <v>23</v>
      </c>
      <c r="N349" s="13">
        <f>IFERROR(VLOOKUP($A:$A,[1]KION_IND_E_COM_LT!$A:$T,18,0),"")</f>
        <v>0</v>
      </c>
      <c r="O349" s="14">
        <v>1</v>
      </c>
      <c r="P349" s="15">
        <f t="shared" si="5"/>
        <v>90</v>
      </c>
      <c r="Q349" s="16" t="s">
        <v>3</v>
      </c>
      <c r="R349" s="17" t="s">
        <v>3</v>
      </c>
      <c r="S349" s="13" t="s">
        <v>0</v>
      </c>
    </row>
    <row r="350" spans="1:19" x14ac:dyDescent="0.25">
      <c r="A350" s="13">
        <v>979636001</v>
      </c>
      <c r="B350" s="27" t="s">
        <v>141</v>
      </c>
      <c r="C350" s="28">
        <v>0</v>
      </c>
      <c r="D350" s="13">
        <v>389533</v>
      </c>
      <c r="E350" s="13"/>
      <c r="F350" s="13">
        <v>2500</v>
      </c>
      <c r="G350" s="13">
        <v>2500</v>
      </c>
      <c r="H350" s="13"/>
      <c r="I350" s="13"/>
      <c r="J350" s="13">
        <v>2500</v>
      </c>
      <c r="K350" s="13">
        <v>0</v>
      </c>
      <c r="L350" s="22" t="s">
        <v>21</v>
      </c>
      <c r="M350" s="13"/>
      <c r="N350" s="13">
        <f>IFERROR(VLOOKUP($A:$A,[1]KION_IND_E_COM_LT!$A:$T,18,0),"")</f>
        <v>0</v>
      </c>
      <c r="O350" s="14"/>
      <c r="P350" s="15">
        <f t="shared" si="5"/>
        <v>0</v>
      </c>
      <c r="Q350" s="16"/>
      <c r="R350" s="17">
        <v>5</v>
      </c>
      <c r="S350" s="13" t="s">
        <v>0</v>
      </c>
    </row>
    <row r="351" spans="1:19" x14ac:dyDescent="0.25">
      <c r="A351" s="13">
        <v>979878001</v>
      </c>
      <c r="B351" s="27" t="s">
        <v>308</v>
      </c>
      <c r="C351" s="28">
        <v>2</v>
      </c>
      <c r="D351" s="13">
        <v>389680</v>
      </c>
      <c r="E351" s="13"/>
      <c r="F351" s="13">
        <v>200</v>
      </c>
      <c r="G351" s="13">
        <v>200</v>
      </c>
      <c r="H351" s="13"/>
      <c r="I351" s="13"/>
      <c r="J351" s="13"/>
      <c r="K351" s="13">
        <v>200</v>
      </c>
      <c r="L351" s="23"/>
      <c r="M351" s="13" t="s">
        <v>23</v>
      </c>
      <c r="N351" s="13">
        <f>IFERROR(VLOOKUP($A:$A,[1]KION_IND_E_COM_LT!$A:$T,18,0),"")</f>
        <v>0</v>
      </c>
      <c r="O351" s="14">
        <v>1</v>
      </c>
      <c r="P351" s="15">
        <f t="shared" si="5"/>
        <v>200</v>
      </c>
      <c r="Q351" s="16">
        <v>44095</v>
      </c>
      <c r="R351" s="17">
        <v>10</v>
      </c>
      <c r="S351" s="13" t="s">
        <v>0</v>
      </c>
    </row>
    <row r="352" spans="1:19" x14ac:dyDescent="0.25">
      <c r="A352" s="13">
        <v>980210001</v>
      </c>
      <c r="B352" s="27" t="s">
        <v>151</v>
      </c>
      <c r="C352" s="28">
        <v>2</v>
      </c>
      <c r="D352" s="13">
        <v>389680</v>
      </c>
      <c r="E352" s="13"/>
      <c r="F352" s="13">
        <v>350</v>
      </c>
      <c r="G352" s="13">
        <v>350</v>
      </c>
      <c r="H352" s="13"/>
      <c r="I352" s="13"/>
      <c r="J352" s="13">
        <v>350</v>
      </c>
      <c r="K352" s="13">
        <v>0</v>
      </c>
      <c r="L352" s="24" t="s">
        <v>21</v>
      </c>
      <c r="M352" s="13" t="s">
        <v>320</v>
      </c>
      <c r="N352" s="13">
        <f>IFERROR(VLOOKUP($A:$A,[1]KION_IND_E_COM_LT!$A:$T,18,0),"")</f>
        <v>0</v>
      </c>
      <c r="O352" s="14"/>
      <c r="P352" s="15">
        <f t="shared" si="5"/>
        <v>0</v>
      </c>
      <c r="Q352" s="16"/>
      <c r="R352" s="17">
        <v>6</v>
      </c>
      <c r="S352" s="13" t="s">
        <v>0</v>
      </c>
    </row>
    <row r="353" spans="1:19" x14ac:dyDescent="0.25">
      <c r="A353" s="13">
        <v>980256001</v>
      </c>
      <c r="B353" s="27" t="s">
        <v>158</v>
      </c>
      <c r="C353" s="28">
        <v>0</v>
      </c>
      <c r="D353" s="13">
        <v>389680</v>
      </c>
      <c r="E353" s="13"/>
      <c r="F353" s="13">
        <v>350</v>
      </c>
      <c r="G353" s="13">
        <v>30</v>
      </c>
      <c r="H353" s="13"/>
      <c r="I353" s="13">
        <v>30</v>
      </c>
      <c r="J353" s="13"/>
      <c r="K353" s="13">
        <v>0</v>
      </c>
      <c r="L353" s="24" t="s">
        <v>21</v>
      </c>
      <c r="M353" s="13" t="s">
        <v>320</v>
      </c>
      <c r="N353" s="13">
        <f>IFERROR(VLOOKUP($A:$A,[1]KION_IND_E_COM_LT!$A:$T,18,0),"")</f>
        <v>0</v>
      </c>
      <c r="O353" s="14"/>
      <c r="P353" s="15">
        <f t="shared" si="5"/>
        <v>0</v>
      </c>
      <c r="Q353" s="16"/>
      <c r="R353" s="17">
        <v>7</v>
      </c>
      <c r="S353" s="13" t="s">
        <v>0</v>
      </c>
    </row>
    <row r="354" spans="1:19" x14ac:dyDescent="0.25">
      <c r="A354" s="13">
        <v>980270001</v>
      </c>
      <c r="B354" s="27" t="s">
        <v>143</v>
      </c>
      <c r="C354" s="28">
        <v>0</v>
      </c>
      <c r="D354" s="13">
        <v>389680</v>
      </c>
      <c r="E354" s="13"/>
      <c r="F354" s="13">
        <v>2800</v>
      </c>
      <c r="G354" s="13">
        <v>2800</v>
      </c>
      <c r="H354" s="13"/>
      <c r="I354" s="13"/>
      <c r="J354" s="13">
        <v>2800</v>
      </c>
      <c r="K354" s="13">
        <v>0</v>
      </c>
      <c r="L354" s="24" t="s">
        <v>21</v>
      </c>
      <c r="M354" s="13" t="s">
        <v>320</v>
      </c>
      <c r="N354" s="13">
        <f>IFERROR(VLOOKUP($A:$A,[1]KION_IND_E_COM_LT!$A:$T,18,0),"")</f>
        <v>0</v>
      </c>
      <c r="O354" s="14"/>
      <c r="P354" s="15">
        <f t="shared" si="5"/>
        <v>0</v>
      </c>
      <c r="Q354" s="16"/>
      <c r="R354" s="17">
        <v>6</v>
      </c>
      <c r="S354" s="13" t="s">
        <v>0</v>
      </c>
    </row>
    <row r="355" spans="1:19" x14ac:dyDescent="0.25">
      <c r="A355" s="13">
        <v>980404001</v>
      </c>
      <c r="B355" s="27" t="s">
        <v>156</v>
      </c>
      <c r="C355" s="28">
        <v>0</v>
      </c>
      <c r="D355" s="13">
        <v>389680</v>
      </c>
      <c r="E355" s="13"/>
      <c r="F355" s="13">
        <v>350</v>
      </c>
      <c r="G355" s="13">
        <v>7</v>
      </c>
      <c r="H355" s="13"/>
      <c r="I355" s="13">
        <v>7</v>
      </c>
      <c r="J355" s="13"/>
      <c r="K355" s="13">
        <v>0</v>
      </c>
      <c r="L355" s="24" t="s">
        <v>21</v>
      </c>
      <c r="M355" s="13" t="s">
        <v>320</v>
      </c>
      <c r="N355" s="13">
        <f>IFERROR(VLOOKUP($A:$A,[1]KION_IND_E_COM_LT!$A:$T,18,0),"")</f>
        <v>0</v>
      </c>
      <c r="O355" s="14"/>
      <c r="P355" s="15">
        <f t="shared" si="5"/>
        <v>0</v>
      </c>
      <c r="Q355" s="16"/>
      <c r="R355" s="17">
        <v>7</v>
      </c>
      <c r="S355" s="13" t="s">
        <v>0</v>
      </c>
    </row>
    <row r="356" spans="1:19" x14ac:dyDescent="0.25">
      <c r="A356" s="13">
        <v>980405001</v>
      </c>
      <c r="B356" s="27" t="s">
        <v>157</v>
      </c>
      <c r="C356" s="28">
        <v>0</v>
      </c>
      <c r="D356" s="13">
        <v>389680</v>
      </c>
      <c r="E356" s="13"/>
      <c r="F356" s="13">
        <v>352</v>
      </c>
      <c r="G356" s="13">
        <v>6</v>
      </c>
      <c r="H356" s="13"/>
      <c r="I356" s="13">
        <v>6</v>
      </c>
      <c r="J356" s="13"/>
      <c r="K356" s="13">
        <v>0</v>
      </c>
      <c r="L356" s="24" t="s">
        <v>21</v>
      </c>
      <c r="M356" s="13" t="s">
        <v>320</v>
      </c>
      <c r="N356" s="13">
        <f>IFERROR(VLOOKUP($A:$A,[1]KION_IND_E_COM_LT!$A:$T,18,0),"")</f>
        <v>0</v>
      </c>
      <c r="O356" s="14"/>
      <c r="P356" s="15">
        <f t="shared" si="5"/>
        <v>0</v>
      </c>
      <c r="Q356" s="16"/>
      <c r="R356" s="17">
        <v>7</v>
      </c>
      <c r="S356" s="13" t="s">
        <v>0</v>
      </c>
    </row>
    <row r="357" spans="1:19" x14ac:dyDescent="0.25">
      <c r="A357" s="13">
        <v>980490001</v>
      </c>
      <c r="B357" s="27" t="s">
        <v>142</v>
      </c>
      <c r="C357" s="28">
        <v>0</v>
      </c>
      <c r="D357" s="13">
        <v>389680</v>
      </c>
      <c r="E357" s="13"/>
      <c r="F357" s="13">
        <v>350</v>
      </c>
      <c r="G357" s="13">
        <v>350</v>
      </c>
      <c r="H357" s="13"/>
      <c r="I357" s="13"/>
      <c r="J357" s="13">
        <v>350</v>
      </c>
      <c r="K357" s="13">
        <v>0</v>
      </c>
      <c r="L357" s="24" t="s">
        <v>21</v>
      </c>
      <c r="M357" s="13" t="s">
        <v>320</v>
      </c>
      <c r="N357" s="13">
        <f>IFERROR(VLOOKUP($A:$A,[1]KION_IND_E_COM_LT!$A:$T,18,0),"")</f>
        <v>0</v>
      </c>
      <c r="O357" s="14"/>
      <c r="P357" s="15">
        <f t="shared" si="5"/>
        <v>0</v>
      </c>
      <c r="Q357" s="16"/>
      <c r="R357" s="17">
        <v>6</v>
      </c>
      <c r="S357" s="13" t="s">
        <v>0</v>
      </c>
    </row>
    <row r="358" spans="1:19" x14ac:dyDescent="0.25">
      <c r="A358" s="13">
        <v>980756001</v>
      </c>
      <c r="B358" s="27" t="s">
        <v>152</v>
      </c>
      <c r="C358" s="28">
        <v>0</v>
      </c>
      <c r="D358" s="13">
        <v>389680</v>
      </c>
      <c r="E358" s="13"/>
      <c r="F358" s="13">
        <v>5700</v>
      </c>
      <c r="G358" s="13">
        <v>5700</v>
      </c>
      <c r="H358" s="13"/>
      <c r="I358" s="13"/>
      <c r="J358" s="13"/>
      <c r="K358" s="13">
        <v>5700</v>
      </c>
      <c r="L358" s="22" t="s">
        <v>21</v>
      </c>
      <c r="M358" s="22" t="s">
        <v>59</v>
      </c>
      <c r="N358" s="13">
        <f>IFERROR(VLOOKUP($A:$A,[1]KION_IND_E_COM_LT!$A:$T,18,0),"")</f>
        <v>0</v>
      </c>
      <c r="O358" s="14">
        <v>1</v>
      </c>
      <c r="P358" s="15">
        <f t="shared" si="5"/>
        <v>5700</v>
      </c>
      <c r="Q358" s="16">
        <v>44060</v>
      </c>
      <c r="R358" s="17">
        <v>5</v>
      </c>
      <c r="S358" s="13" t="s">
        <v>0</v>
      </c>
    </row>
    <row r="359" spans="1:19" x14ac:dyDescent="0.25">
      <c r="A359" s="13">
        <v>980756002</v>
      </c>
      <c r="B359" s="27" t="s">
        <v>152</v>
      </c>
      <c r="C359" s="28">
        <v>0</v>
      </c>
      <c r="D359" s="13">
        <v>389680</v>
      </c>
      <c r="E359" s="13"/>
      <c r="F359" s="13">
        <v>1500</v>
      </c>
      <c r="G359" s="13">
        <v>1500</v>
      </c>
      <c r="H359" s="13"/>
      <c r="I359" s="13"/>
      <c r="J359" s="13"/>
      <c r="K359" s="13">
        <v>1500</v>
      </c>
      <c r="L359" s="22" t="s">
        <v>21</v>
      </c>
      <c r="M359" s="13" t="s">
        <v>59</v>
      </c>
      <c r="N359" s="13">
        <f>IFERROR(VLOOKUP($A:$A,[1]KION_IND_E_COM_LT!$A:$T,18,0),"")</f>
        <v>0</v>
      </c>
      <c r="O359" s="14">
        <v>1</v>
      </c>
      <c r="P359" s="15">
        <f t="shared" si="5"/>
        <v>1500</v>
      </c>
      <c r="Q359" s="16">
        <v>44074</v>
      </c>
      <c r="R359" s="17">
        <v>7</v>
      </c>
      <c r="S359" s="13" t="s">
        <v>0</v>
      </c>
    </row>
    <row r="360" spans="1:19" x14ac:dyDescent="0.25">
      <c r="A360" s="13">
        <v>980757001</v>
      </c>
      <c r="B360" s="27" t="s">
        <v>135</v>
      </c>
      <c r="C360" s="28">
        <v>0</v>
      </c>
      <c r="D360" s="13">
        <v>389680</v>
      </c>
      <c r="E360" s="13"/>
      <c r="F360" s="13">
        <v>2505</v>
      </c>
      <c r="G360" s="13">
        <v>2505</v>
      </c>
      <c r="H360" s="13"/>
      <c r="I360" s="13"/>
      <c r="J360" s="13"/>
      <c r="K360" s="13">
        <v>2505</v>
      </c>
      <c r="L360" s="24" t="s">
        <v>21</v>
      </c>
      <c r="M360" s="13" t="s">
        <v>320</v>
      </c>
      <c r="N360" s="13">
        <f>IFERROR(VLOOKUP($A:$A,[1]KION_IND_E_COM_LT!$A:$T,18,0),"")</f>
        <v>0</v>
      </c>
      <c r="O360" s="14">
        <v>1</v>
      </c>
      <c r="P360" s="15">
        <f t="shared" si="5"/>
        <v>2505</v>
      </c>
      <c r="Q360" s="16">
        <v>44060</v>
      </c>
      <c r="R360" s="17">
        <v>5</v>
      </c>
      <c r="S360" s="13" t="s">
        <v>0</v>
      </c>
    </row>
    <row r="361" spans="1:19" x14ac:dyDescent="0.25">
      <c r="A361" s="13">
        <v>981019001</v>
      </c>
      <c r="B361" s="27" t="s">
        <v>143</v>
      </c>
      <c r="C361" s="28">
        <v>0</v>
      </c>
      <c r="D361" s="13">
        <v>389802</v>
      </c>
      <c r="E361" s="13"/>
      <c r="F361" s="13">
        <v>30</v>
      </c>
      <c r="G361" s="13">
        <v>30</v>
      </c>
      <c r="H361" s="13"/>
      <c r="I361" s="13"/>
      <c r="J361" s="13">
        <v>30</v>
      </c>
      <c r="K361" s="13">
        <v>0</v>
      </c>
      <c r="L361" s="22" t="s">
        <v>21</v>
      </c>
      <c r="M361" s="13"/>
      <c r="N361" s="13">
        <f>IFERROR(VLOOKUP($A:$A,[1]KION_IND_E_COM_LT!$A:$T,18,0),"")</f>
        <v>0</v>
      </c>
      <c r="O361" s="14"/>
      <c r="P361" s="15">
        <f t="shared" si="5"/>
        <v>0</v>
      </c>
      <c r="Q361" s="16"/>
      <c r="R361" s="17">
        <v>6</v>
      </c>
      <c r="S361" s="13" t="s">
        <v>0</v>
      </c>
    </row>
    <row r="362" spans="1:19" x14ac:dyDescent="0.25">
      <c r="A362" s="13">
        <v>981953001</v>
      </c>
      <c r="B362" s="27" t="s">
        <v>187</v>
      </c>
      <c r="C362" s="28">
        <v>0</v>
      </c>
      <c r="D362" s="13">
        <v>390336</v>
      </c>
      <c r="E362" s="13"/>
      <c r="F362" s="13">
        <v>200</v>
      </c>
      <c r="G362" s="13">
        <v>200</v>
      </c>
      <c r="H362" s="13"/>
      <c r="I362" s="13">
        <v>200</v>
      </c>
      <c r="J362" s="13"/>
      <c r="K362" s="13">
        <v>0</v>
      </c>
      <c r="L362" s="24" t="s">
        <v>21</v>
      </c>
      <c r="M362" s="13" t="s">
        <v>32</v>
      </c>
      <c r="N362" s="13" t="str">
        <f>IFERROR(VLOOKUP($A:$A,[1]KION_IND_E_COM_LT!$A:$T,18,0),"")</f>
        <v>06/08 - B</v>
      </c>
      <c r="O362" s="14"/>
      <c r="P362" s="15">
        <f t="shared" si="5"/>
        <v>0</v>
      </c>
      <c r="Q362" s="16"/>
      <c r="R362" s="17" t="s">
        <v>3</v>
      </c>
      <c r="S362" s="13" t="s">
        <v>0</v>
      </c>
    </row>
    <row r="363" spans="1:19" x14ac:dyDescent="0.25">
      <c r="A363" s="13">
        <v>981955001</v>
      </c>
      <c r="B363" s="27" t="s">
        <v>140</v>
      </c>
      <c r="C363" s="28">
        <v>0</v>
      </c>
      <c r="D363" s="13">
        <v>390336</v>
      </c>
      <c r="E363" s="13"/>
      <c r="F363" s="13">
        <v>700</v>
      </c>
      <c r="G363" s="13">
        <v>350</v>
      </c>
      <c r="H363" s="13"/>
      <c r="I363" s="13">
        <v>350</v>
      </c>
      <c r="J363" s="13"/>
      <c r="K363" s="13">
        <v>0</v>
      </c>
      <c r="L363" s="24" t="s">
        <v>21</v>
      </c>
      <c r="M363" s="13" t="s">
        <v>32</v>
      </c>
      <c r="N363" s="13">
        <f>IFERROR(VLOOKUP($A:$A,[1]KION_IND_E_COM_LT!$A:$T,18,0),"")</f>
        <v>0</v>
      </c>
      <c r="O363" s="14"/>
      <c r="P363" s="15">
        <f t="shared" si="5"/>
        <v>0</v>
      </c>
      <c r="Q363" s="16"/>
      <c r="R363" s="17">
        <v>5</v>
      </c>
      <c r="S363" s="13" t="s">
        <v>0</v>
      </c>
    </row>
    <row r="364" spans="1:19" x14ac:dyDescent="0.25">
      <c r="A364" s="13">
        <v>982006471</v>
      </c>
      <c r="B364" s="27" t="s">
        <v>188</v>
      </c>
      <c r="C364" s="28">
        <v>0</v>
      </c>
      <c r="D364" s="13">
        <v>390336</v>
      </c>
      <c r="E364" s="13"/>
      <c r="F364" s="13">
        <v>90</v>
      </c>
      <c r="G364" s="13">
        <v>90</v>
      </c>
      <c r="H364" s="13"/>
      <c r="I364" s="13">
        <v>90</v>
      </c>
      <c r="J364" s="13"/>
      <c r="K364" s="13">
        <v>0</v>
      </c>
      <c r="L364" s="24" t="s">
        <v>21</v>
      </c>
      <c r="M364" s="13" t="s">
        <v>32</v>
      </c>
      <c r="N364" s="13" t="str">
        <f>IFERROR(VLOOKUP($A:$A,[1]KION_IND_E_COM_LT!$A:$T,18,0),"")</f>
        <v>07/08 - A</v>
      </c>
      <c r="O364" s="14"/>
      <c r="P364" s="15">
        <f t="shared" si="5"/>
        <v>0</v>
      </c>
      <c r="Q364" s="16"/>
      <c r="R364" s="17" t="s">
        <v>3</v>
      </c>
      <c r="S364" s="13" t="s">
        <v>0</v>
      </c>
    </row>
    <row r="365" spans="1:19" x14ac:dyDescent="0.25">
      <c r="A365" s="13">
        <v>982006481</v>
      </c>
      <c r="B365" s="27" t="s">
        <v>175</v>
      </c>
      <c r="C365" s="28">
        <v>0</v>
      </c>
      <c r="D365" s="13">
        <v>390336</v>
      </c>
      <c r="E365" s="13"/>
      <c r="F365" s="13">
        <v>350</v>
      </c>
      <c r="G365" s="13">
        <v>50</v>
      </c>
      <c r="H365" s="13"/>
      <c r="I365" s="13"/>
      <c r="J365" s="13">
        <v>50</v>
      </c>
      <c r="K365" s="13">
        <v>0</v>
      </c>
      <c r="L365" s="22" t="s">
        <v>21</v>
      </c>
      <c r="M365" s="13" t="s">
        <v>320</v>
      </c>
      <c r="N365" s="13">
        <f>IFERROR(VLOOKUP($A:$A,[1]KION_IND_E_COM_LT!$A:$T,18,0),"")</f>
        <v>0</v>
      </c>
      <c r="O365" s="14"/>
      <c r="P365" s="15">
        <f t="shared" si="5"/>
        <v>0</v>
      </c>
      <c r="Q365" s="16"/>
      <c r="R365" s="17">
        <v>8</v>
      </c>
      <c r="S365" s="13" t="s">
        <v>0</v>
      </c>
    </row>
    <row r="366" spans="1:19" x14ac:dyDescent="0.25">
      <c r="A366" s="13">
        <v>982006491</v>
      </c>
      <c r="B366" s="27" t="s">
        <v>139</v>
      </c>
      <c r="C366" s="28">
        <v>0</v>
      </c>
      <c r="D366" s="13">
        <v>390336</v>
      </c>
      <c r="E366" s="13"/>
      <c r="F366" s="13">
        <v>360</v>
      </c>
      <c r="G366" s="13">
        <v>60</v>
      </c>
      <c r="H366" s="13"/>
      <c r="I366" s="13"/>
      <c r="J366" s="13">
        <v>60</v>
      </c>
      <c r="K366" s="13">
        <v>0</v>
      </c>
      <c r="L366" s="24" t="s">
        <v>21</v>
      </c>
      <c r="M366" s="13" t="s">
        <v>320</v>
      </c>
      <c r="N366" s="13">
        <f>IFERROR(VLOOKUP($A:$A,[1]KION_IND_E_COM_LT!$A:$T,18,0),"")</f>
        <v>0</v>
      </c>
      <c r="O366" s="14"/>
      <c r="P366" s="15">
        <f t="shared" si="5"/>
        <v>0</v>
      </c>
      <c r="Q366" s="16"/>
      <c r="R366" s="17">
        <v>5</v>
      </c>
      <c r="S366" s="13" t="s">
        <v>0</v>
      </c>
    </row>
    <row r="367" spans="1:19" x14ac:dyDescent="0.25">
      <c r="A367" s="13">
        <v>982035151</v>
      </c>
      <c r="B367" s="27" t="s">
        <v>201</v>
      </c>
      <c r="C367" s="28">
        <v>0</v>
      </c>
      <c r="D367" s="13">
        <v>390336</v>
      </c>
      <c r="E367" s="13"/>
      <c r="F367" s="13">
        <v>250</v>
      </c>
      <c r="G367" s="13">
        <v>250</v>
      </c>
      <c r="H367" s="13"/>
      <c r="I367" s="13">
        <v>160</v>
      </c>
      <c r="J367" s="13"/>
      <c r="K367" s="13">
        <v>90</v>
      </c>
      <c r="L367" s="24" t="s">
        <v>21</v>
      </c>
      <c r="M367" s="13" t="s">
        <v>35</v>
      </c>
      <c r="N367" s="13" t="str">
        <f>IFERROR(VLOOKUP($A:$A,[1]KION_IND_E_COM_LT!$A:$T,18,0),"")</f>
        <v>07/08 - A (160PÇS)</v>
      </c>
      <c r="O367" s="14">
        <v>1</v>
      </c>
      <c r="P367" s="15">
        <f t="shared" si="5"/>
        <v>90</v>
      </c>
      <c r="Q367" s="16">
        <v>44060</v>
      </c>
      <c r="R367" s="17">
        <v>5</v>
      </c>
      <c r="S367" s="13" t="s">
        <v>0</v>
      </c>
    </row>
    <row r="368" spans="1:19" x14ac:dyDescent="0.25">
      <c r="A368" s="13">
        <v>982035161</v>
      </c>
      <c r="B368" s="27" t="s">
        <v>172</v>
      </c>
      <c r="C368" s="28">
        <v>0</v>
      </c>
      <c r="D368" s="13">
        <v>390336</v>
      </c>
      <c r="E368" s="13"/>
      <c r="F368" s="13">
        <v>250</v>
      </c>
      <c r="G368" s="13">
        <v>200</v>
      </c>
      <c r="H368" s="13"/>
      <c r="I368" s="13"/>
      <c r="J368" s="13">
        <v>200</v>
      </c>
      <c r="K368" s="13">
        <v>0</v>
      </c>
      <c r="L368" s="24" t="s">
        <v>21</v>
      </c>
      <c r="M368" s="13" t="s">
        <v>320</v>
      </c>
      <c r="N368" s="13">
        <f>IFERROR(VLOOKUP($A:$A,[1]KION_IND_E_COM_LT!$A:$T,18,0),"")</f>
        <v>0</v>
      </c>
      <c r="O368" s="14"/>
      <c r="P368" s="15">
        <f t="shared" si="5"/>
        <v>0</v>
      </c>
      <c r="Q368" s="16"/>
      <c r="R368" s="17">
        <v>8</v>
      </c>
      <c r="S368" s="13" t="s">
        <v>0</v>
      </c>
    </row>
    <row r="369" spans="1:19" x14ac:dyDescent="0.25">
      <c r="A369" s="13">
        <v>982035261</v>
      </c>
      <c r="B369" s="27" t="s">
        <v>123</v>
      </c>
      <c r="C369" s="28">
        <v>0</v>
      </c>
      <c r="D369" s="13">
        <v>390336</v>
      </c>
      <c r="E369" s="13"/>
      <c r="F369" s="13">
        <v>150</v>
      </c>
      <c r="G369" s="13">
        <v>150</v>
      </c>
      <c r="H369" s="13"/>
      <c r="I369" s="13"/>
      <c r="J369" s="13"/>
      <c r="K369" s="13">
        <v>150</v>
      </c>
      <c r="L369" s="24" t="s">
        <v>21</v>
      </c>
      <c r="M369" s="13" t="s">
        <v>320</v>
      </c>
      <c r="N369" s="22" t="s">
        <v>64</v>
      </c>
      <c r="O369" s="14">
        <v>1</v>
      </c>
      <c r="P369" s="15">
        <f t="shared" si="5"/>
        <v>150</v>
      </c>
      <c r="Q369" s="16">
        <v>44060</v>
      </c>
      <c r="R369" s="17">
        <v>5</v>
      </c>
      <c r="S369" s="13" t="s">
        <v>0</v>
      </c>
    </row>
    <row r="370" spans="1:19" x14ac:dyDescent="0.25">
      <c r="A370" s="13">
        <v>982050371</v>
      </c>
      <c r="B370" s="27" t="s">
        <v>316</v>
      </c>
      <c r="C370" s="28">
        <v>0</v>
      </c>
      <c r="D370" s="13">
        <v>390336</v>
      </c>
      <c r="E370" s="13"/>
      <c r="F370" s="13">
        <v>1000</v>
      </c>
      <c r="G370" s="13">
        <v>1000</v>
      </c>
      <c r="H370" s="13"/>
      <c r="I370" s="13"/>
      <c r="J370" s="13"/>
      <c r="K370" s="13">
        <v>1000</v>
      </c>
      <c r="L370" s="22" t="s">
        <v>21</v>
      </c>
      <c r="M370" s="22" t="s">
        <v>60</v>
      </c>
      <c r="N370" s="13">
        <f>IFERROR(VLOOKUP($A:$A,[1]KION_IND_E_COM_LT!$A:$T,18,0),"")</f>
        <v>0</v>
      </c>
      <c r="O370" s="14">
        <v>1</v>
      </c>
      <c r="P370" s="15">
        <f t="shared" si="5"/>
        <v>1000</v>
      </c>
      <c r="Q370" s="16">
        <v>44060</v>
      </c>
      <c r="R370" s="17">
        <v>5</v>
      </c>
      <c r="S370" s="13" t="s">
        <v>0</v>
      </c>
    </row>
    <row r="371" spans="1:19" x14ac:dyDescent="0.25">
      <c r="A371" s="13">
        <v>982050372</v>
      </c>
      <c r="B371" s="27" t="s">
        <v>316</v>
      </c>
      <c r="C371" s="28">
        <v>0</v>
      </c>
      <c r="D371" s="13">
        <v>390336</v>
      </c>
      <c r="E371" s="13"/>
      <c r="F371" s="13">
        <v>1420</v>
      </c>
      <c r="G371" s="13">
        <v>1420</v>
      </c>
      <c r="H371" s="13"/>
      <c r="I371" s="13"/>
      <c r="J371" s="13"/>
      <c r="K371" s="13">
        <v>1420</v>
      </c>
      <c r="L371" s="22" t="s">
        <v>21</v>
      </c>
      <c r="M371" s="13" t="s">
        <v>60</v>
      </c>
      <c r="N371" s="13">
        <f>IFERROR(VLOOKUP($A:$A,[1]KION_IND_E_COM_LT!$A:$T,18,0),"")</f>
        <v>0</v>
      </c>
      <c r="O371" s="14">
        <v>1</v>
      </c>
      <c r="P371" s="15">
        <f t="shared" si="5"/>
        <v>1420</v>
      </c>
      <c r="Q371" s="16">
        <v>44067</v>
      </c>
      <c r="R371" s="17">
        <v>6</v>
      </c>
      <c r="S371" s="13" t="s">
        <v>0</v>
      </c>
    </row>
    <row r="372" spans="1:19" x14ac:dyDescent="0.25">
      <c r="A372" s="13">
        <v>982050381</v>
      </c>
      <c r="B372" s="27" t="s">
        <v>317</v>
      </c>
      <c r="C372" s="28">
        <v>0</v>
      </c>
      <c r="D372" s="13">
        <v>390336</v>
      </c>
      <c r="E372" s="13"/>
      <c r="F372" s="13">
        <v>1000</v>
      </c>
      <c r="G372" s="13">
        <v>1000</v>
      </c>
      <c r="H372" s="13"/>
      <c r="I372" s="13"/>
      <c r="J372" s="13"/>
      <c r="K372" s="13">
        <v>1000</v>
      </c>
      <c r="L372" s="22" t="s">
        <v>21</v>
      </c>
      <c r="M372" s="13" t="s">
        <v>60</v>
      </c>
      <c r="N372" s="13">
        <f>IFERROR(VLOOKUP($A:$A,[1]KION_IND_E_COM_LT!$A:$T,18,0),"")</f>
        <v>0</v>
      </c>
      <c r="O372" s="14">
        <v>1</v>
      </c>
      <c r="P372" s="15">
        <f t="shared" si="5"/>
        <v>1000</v>
      </c>
      <c r="Q372" s="16">
        <v>44060</v>
      </c>
      <c r="R372" s="17">
        <v>5</v>
      </c>
      <c r="S372" s="13" t="s">
        <v>0</v>
      </c>
    </row>
    <row r="373" spans="1:19" x14ac:dyDescent="0.25">
      <c r="A373" s="13">
        <v>982050382</v>
      </c>
      <c r="B373" s="27" t="s">
        <v>317</v>
      </c>
      <c r="C373" s="28">
        <v>0</v>
      </c>
      <c r="D373" s="13">
        <v>390336</v>
      </c>
      <c r="E373" s="13"/>
      <c r="F373" s="13">
        <v>1420</v>
      </c>
      <c r="G373" s="13">
        <v>1420</v>
      </c>
      <c r="H373" s="13"/>
      <c r="I373" s="13"/>
      <c r="J373" s="13"/>
      <c r="K373" s="13">
        <v>1420</v>
      </c>
      <c r="L373" s="22" t="s">
        <v>21</v>
      </c>
      <c r="M373" s="13" t="s">
        <v>60</v>
      </c>
      <c r="N373" s="13">
        <f>IFERROR(VLOOKUP($A:$A,[1]KION_IND_E_COM_LT!$A:$T,18,0),"")</f>
        <v>0</v>
      </c>
      <c r="O373" s="14">
        <v>1</v>
      </c>
      <c r="P373" s="15">
        <f t="shared" si="5"/>
        <v>1420</v>
      </c>
      <c r="Q373" s="16">
        <v>44067</v>
      </c>
      <c r="R373" s="17">
        <v>6</v>
      </c>
      <c r="S373" s="13" t="s">
        <v>0</v>
      </c>
    </row>
    <row r="374" spans="1:19" x14ac:dyDescent="0.25">
      <c r="A374" s="13">
        <v>982069021</v>
      </c>
      <c r="B374" s="27" t="s">
        <v>143</v>
      </c>
      <c r="C374" s="28">
        <v>0</v>
      </c>
      <c r="D374" s="13">
        <v>390336</v>
      </c>
      <c r="E374" s="13"/>
      <c r="F374" s="13">
        <v>4775</v>
      </c>
      <c r="G374" s="13">
        <v>4775</v>
      </c>
      <c r="H374" s="13"/>
      <c r="I374" s="13"/>
      <c r="J374" s="13"/>
      <c r="K374" s="13">
        <v>4775</v>
      </c>
      <c r="L374" s="24" t="s">
        <v>21</v>
      </c>
      <c r="M374" s="13" t="s">
        <v>320</v>
      </c>
      <c r="N374" s="22"/>
      <c r="O374" s="14">
        <v>1</v>
      </c>
      <c r="P374" s="15">
        <f t="shared" si="5"/>
        <v>4775</v>
      </c>
      <c r="Q374" s="16">
        <v>44067</v>
      </c>
      <c r="R374" s="17">
        <v>6</v>
      </c>
      <c r="S374" s="13" t="s">
        <v>0</v>
      </c>
    </row>
    <row r="375" spans="1:19" x14ac:dyDescent="0.25">
      <c r="A375" s="13">
        <v>982069022</v>
      </c>
      <c r="B375" s="27" t="s">
        <v>143</v>
      </c>
      <c r="C375" s="28">
        <v>0</v>
      </c>
      <c r="D375" s="13">
        <v>390336</v>
      </c>
      <c r="E375" s="13"/>
      <c r="F375" s="13">
        <v>3380</v>
      </c>
      <c r="G375" s="13">
        <v>3380</v>
      </c>
      <c r="H375" s="13"/>
      <c r="I375" s="13"/>
      <c r="J375" s="13"/>
      <c r="K375" s="13">
        <v>3380</v>
      </c>
      <c r="L375" s="23"/>
      <c r="M375" s="13" t="s">
        <v>23</v>
      </c>
      <c r="N375" s="13">
        <f>IFERROR(VLOOKUP($A:$A,[1]KION_IND_E_COM_LT!$A:$T,18,0),"")</f>
        <v>0</v>
      </c>
      <c r="O375" s="14">
        <v>1</v>
      </c>
      <c r="P375" s="15">
        <f t="shared" si="5"/>
        <v>3380</v>
      </c>
      <c r="Q375" s="16">
        <v>44088</v>
      </c>
      <c r="R375" s="17">
        <v>9</v>
      </c>
      <c r="S375" s="13" t="s">
        <v>0</v>
      </c>
    </row>
    <row r="376" spans="1:19" x14ac:dyDescent="0.25">
      <c r="A376" s="13">
        <v>982069023</v>
      </c>
      <c r="B376" s="27" t="s">
        <v>143</v>
      </c>
      <c r="C376" s="28">
        <v>0</v>
      </c>
      <c r="D376" s="13">
        <v>390336</v>
      </c>
      <c r="E376" s="13"/>
      <c r="F376" s="13">
        <v>4000</v>
      </c>
      <c r="G376" s="13">
        <v>4000</v>
      </c>
      <c r="H376" s="13"/>
      <c r="I376" s="13"/>
      <c r="J376" s="13"/>
      <c r="K376" s="13">
        <v>4000</v>
      </c>
      <c r="L376" s="23"/>
      <c r="M376" s="13" t="s">
        <v>23</v>
      </c>
      <c r="N376" s="13">
        <f>IFERROR(VLOOKUP($A:$A,[1]KION_IND_E_COM_LT!$A:$T,18,0),"")</f>
        <v>0</v>
      </c>
      <c r="O376" s="14">
        <v>1</v>
      </c>
      <c r="P376" s="15">
        <f t="shared" si="5"/>
        <v>4000</v>
      </c>
      <c r="Q376" s="16">
        <v>44095</v>
      </c>
      <c r="R376" s="17">
        <v>10</v>
      </c>
      <c r="S376" s="13" t="s">
        <v>0</v>
      </c>
    </row>
    <row r="377" spans="1:19" x14ac:dyDescent="0.25">
      <c r="A377" s="13">
        <v>982069024</v>
      </c>
      <c r="B377" s="27" t="s">
        <v>143</v>
      </c>
      <c r="C377" s="28">
        <v>0</v>
      </c>
      <c r="D377" s="13">
        <v>390336</v>
      </c>
      <c r="E377" s="13"/>
      <c r="F377" s="13">
        <v>160</v>
      </c>
      <c r="G377" s="13">
        <v>160</v>
      </c>
      <c r="H377" s="13"/>
      <c r="I377" s="13"/>
      <c r="J377" s="13"/>
      <c r="K377" s="13">
        <v>160</v>
      </c>
      <c r="L377" s="23"/>
      <c r="M377" s="13" t="s">
        <v>23</v>
      </c>
      <c r="N377" s="13">
        <f>IFERROR(VLOOKUP($A:$A,[1]KION_IND_E_COM_LT!$A:$T,18,0),"")</f>
        <v>0</v>
      </c>
      <c r="O377" s="14">
        <v>1</v>
      </c>
      <c r="P377" s="15">
        <f t="shared" si="5"/>
        <v>160</v>
      </c>
      <c r="Q377" s="16" t="s">
        <v>3</v>
      </c>
      <c r="R377" s="17" t="s">
        <v>3</v>
      </c>
      <c r="S377" s="13" t="s">
        <v>0</v>
      </c>
    </row>
    <row r="378" spans="1:19" x14ac:dyDescent="0.25">
      <c r="A378" s="13">
        <v>982069031</v>
      </c>
      <c r="B378" s="27" t="s">
        <v>165</v>
      </c>
      <c r="C378" s="28">
        <v>0</v>
      </c>
      <c r="D378" s="13">
        <v>390336</v>
      </c>
      <c r="E378" s="13"/>
      <c r="F378" s="13">
        <v>2390</v>
      </c>
      <c r="G378" s="13">
        <v>2105</v>
      </c>
      <c r="H378" s="13"/>
      <c r="I378" s="13">
        <v>2105</v>
      </c>
      <c r="J378" s="13"/>
      <c r="K378" s="13">
        <v>0</v>
      </c>
      <c r="L378" s="24" t="s">
        <v>21</v>
      </c>
      <c r="M378" s="13" t="s">
        <v>42</v>
      </c>
      <c r="N378" s="13" t="str">
        <f>IFERROR(VLOOKUP($A:$A,[1]KION_IND_E_COM_LT!$A:$T,18,0),"")</f>
        <v>07/08 - A</v>
      </c>
      <c r="O378" s="14"/>
      <c r="P378" s="15">
        <f t="shared" si="5"/>
        <v>0</v>
      </c>
      <c r="Q378" s="16"/>
      <c r="R378" s="17">
        <v>7</v>
      </c>
      <c r="S378" s="13" t="s">
        <v>0</v>
      </c>
    </row>
    <row r="379" spans="1:19" x14ac:dyDescent="0.25">
      <c r="A379" s="13">
        <v>982069032</v>
      </c>
      <c r="B379" s="27" t="s">
        <v>165</v>
      </c>
      <c r="C379" s="28">
        <v>0</v>
      </c>
      <c r="D379" s="13">
        <v>390336</v>
      </c>
      <c r="E379" s="13"/>
      <c r="F379" s="13">
        <v>1700</v>
      </c>
      <c r="G379" s="13">
        <v>1700</v>
      </c>
      <c r="H379" s="13"/>
      <c r="I379" s="13"/>
      <c r="J379" s="13"/>
      <c r="K379" s="13">
        <v>1700</v>
      </c>
      <c r="L379" s="23"/>
      <c r="M379" s="13" t="s">
        <v>23</v>
      </c>
      <c r="N379" s="13">
        <f>IFERROR(VLOOKUP($A:$A,[1]KION_IND_E_COM_LT!$A:$T,18,0),"")</f>
        <v>0</v>
      </c>
      <c r="O379" s="14">
        <v>1</v>
      </c>
      <c r="P379" s="15">
        <f t="shared" si="5"/>
        <v>1700</v>
      </c>
      <c r="Q379" s="16">
        <v>44088</v>
      </c>
      <c r="R379" s="17">
        <v>9</v>
      </c>
      <c r="S379" s="13" t="s">
        <v>0</v>
      </c>
    </row>
    <row r="380" spans="1:19" x14ac:dyDescent="0.25">
      <c r="A380" s="13">
        <v>982069033</v>
      </c>
      <c r="B380" s="27" t="s">
        <v>165</v>
      </c>
      <c r="C380" s="28">
        <v>0</v>
      </c>
      <c r="D380" s="13">
        <v>390336</v>
      </c>
      <c r="E380" s="13"/>
      <c r="F380" s="13">
        <v>2000</v>
      </c>
      <c r="G380" s="13">
        <v>2000</v>
      </c>
      <c r="H380" s="13"/>
      <c r="I380" s="13"/>
      <c r="J380" s="13"/>
      <c r="K380" s="13">
        <v>2000</v>
      </c>
      <c r="L380" s="13"/>
      <c r="M380" s="13" t="s">
        <v>23</v>
      </c>
      <c r="N380" s="13">
        <f>IFERROR(VLOOKUP($A:$A,[1]KION_IND_E_COM_LT!$A:$T,18,0),"")</f>
        <v>0</v>
      </c>
      <c r="O380" s="14">
        <v>1</v>
      </c>
      <c r="P380" s="15">
        <f t="shared" si="5"/>
        <v>2000</v>
      </c>
      <c r="Q380" s="16">
        <v>44095</v>
      </c>
      <c r="R380" s="17">
        <v>10</v>
      </c>
      <c r="S380" s="13" t="s">
        <v>0</v>
      </c>
    </row>
    <row r="381" spans="1:19" x14ac:dyDescent="0.25">
      <c r="A381" s="13">
        <v>982069034</v>
      </c>
      <c r="B381" s="27" t="s">
        <v>165</v>
      </c>
      <c r="C381" s="28">
        <v>0</v>
      </c>
      <c r="D381" s="13">
        <v>390336</v>
      </c>
      <c r="E381" s="13"/>
      <c r="F381" s="13">
        <v>75</v>
      </c>
      <c r="G381" s="13">
        <v>75</v>
      </c>
      <c r="H381" s="13"/>
      <c r="I381" s="13"/>
      <c r="J381" s="13"/>
      <c r="K381" s="13">
        <v>75</v>
      </c>
      <c r="L381" s="13"/>
      <c r="M381" s="13" t="s">
        <v>23</v>
      </c>
      <c r="N381" s="13">
        <f>IFERROR(VLOOKUP($A:$A,[1]KION_IND_E_COM_LT!$A:$T,18,0),"")</f>
        <v>0</v>
      </c>
      <c r="O381" s="14">
        <v>1</v>
      </c>
      <c r="P381" s="15">
        <f t="shared" si="5"/>
        <v>75</v>
      </c>
      <c r="Q381" s="16" t="s">
        <v>3</v>
      </c>
      <c r="R381" s="17" t="s">
        <v>3</v>
      </c>
      <c r="S381" s="13" t="s">
        <v>0</v>
      </c>
    </row>
    <row r="382" spans="1:19" x14ac:dyDescent="0.25">
      <c r="A382" s="13">
        <v>982069481</v>
      </c>
      <c r="B382" s="27" t="s">
        <v>292</v>
      </c>
      <c r="C382" s="28">
        <v>3</v>
      </c>
      <c r="D382" s="13">
        <v>390336</v>
      </c>
      <c r="E382" s="13"/>
      <c r="F382" s="13">
        <v>40</v>
      </c>
      <c r="G382" s="13">
        <v>40</v>
      </c>
      <c r="H382" s="13"/>
      <c r="I382" s="13"/>
      <c r="J382" s="13"/>
      <c r="K382" s="13">
        <v>40</v>
      </c>
      <c r="L382" s="13"/>
      <c r="M382" s="13" t="s">
        <v>23</v>
      </c>
      <c r="N382" s="13">
        <f>IFERROR(VLOOKUP($A:$A,[1]KION_IND_E_COM_LT!$A:$T,18,0),"")</f>
        <v>0</v>
      </c>
      <c r="O382" s="14">
        <v>1</v>
      </c>
      <c r="P382" s="15">
        <f t="shared" si="5"/>
        <v>40</v>
      </c>
      <c r="Q382" s="16" t="s">
        <v>3</v>
      </c>
      <c r="R382" s="17" t="s">
        <v>3</v>
      </c>
      <c r="S382" s="13" t="s">
        <v>0</v>
      </c>
    </row>
    <row r="383" spans="1:19" x14ac:dyDescent="0.25">
      <c r="A383" s="13">
        <v>982070041</v>
      </c>
      <c r="B383" s="27" t="s">
        <v>253</v>
      </c>
      <c r="C383" s="28">
        <v>0</v>
      </c>
      <c r="D383" s="13">
        <v>390336</v>
      </c>
      <c r="E383" s="13"/>
      <c r="F383" s="13">
        <v>350</v>
      </c>
      <c r="G383" s="13">
        <v>350</v>
      </c>
      <c r="H383" s="13"/>
      <c r="I383" s="13">
        <v>350</v>
      </c>
      <c r="J383" s="13"/>
      <c r="K383" s="13">
        <v>0</v>
      </c>
      <c r="L383" s="22" t="s">
        <v>21</v>
      </c>
      <c r="M383" s="13" t="s">
        <v>320</v>
      </c>
      <c r="N383" s="13">
        <f>IFERROR(VLOOKUP($A:$A,[1]KION_IND_E_COM_LT!$A:$T,18,0),"")</f>
        <v>0</v>
      </c>
      <c r="O383" s="14"/>
      <c r="P383" s="15">
        <f t="shared" si="5"/>
        <v>0</v>
      </c>
      <c r="Q383" s="16"/>
      <c r="R383" s="17">
        <v>8</v>
      </c>
      <c r="S383" s="13" t="s">
        <v>0</v>
      </c>
    </row>
    <row r="384" spans="1:19" x14ac:dyDescent="0.25">
      <c r="A384" s="13">
        <v>982070042</v>
      </c>
      <c r="B384" s="27" t="s">
        <v>253</v>
      </c>
      <c r="C384" s="28">
        <v>0</v>
      </c>
      <c r="D384" s="13">
        <v>390336</v>
      </c>
      <c r="E384" s="13"/>
      <c r="F384" s="13">
        <v>300</v>
      </c>
      <c r="G384" s="13">
        <v>300</v>
      </c>
      <c r="H384" s="13"/>
      <c r="I384" s="13"/>
      <c r="J384" s="13"/>
      <c r="K384" s="13">
        <v>300</v>
      </c>
      <c r="L384" s="13"/>
      <c r="M384" s="13" t="s">
        <v>23</v>
      </c>
      <c r="N384" s="13">
        <f>IFERROR(VLOOKUP($A:$A,[1]KION_IND_E_COM_LT!$A:$T,18,0),"")</f>
        <v>0</v>
      </c>
      <c r="O384" s="14">
        <v>1</v>
      </c>
      <c r="P384" s="15">
        <f t="shared" si="5"/>
        <v>300</v>
      </c>
      <c r="Q384" s="16">
        <v>44081</v>
      </c>
      <c r="R384" s="17">
        <v>8</v>
      </c>
      <c r="S384" s="13" t="s">
        <v>0</v>
      </c>
    </row>
    <row r="385" spans="1:19" x14ac:dyDescent="0.25">
      <c r="A385" s="13">
        <v>982070051</v>
      </c>
      <c r="B385" s="27" t="s">
        <v>252</v>
      </c>
      <c r="C385" s="28">
        <v>0</v>
      </c>
      <c r="D385" s="13">
        <v>390336</v>
      </c>
      <c r="E385" s="13"/>
      <c r="F385" s="13">
        <v>350</v>
      </c>
      <c r="G385" s="13">
        <v>350</v>
      </c>
      <c r="H385" s="13"/>
      <c r="I385" s="13">
        <v>350</v>
      </c>
      <c r="J385" s="13"/>
      <c r="K385" s="13">
        <v>0</v>
      </c>
      <c r="L385" s="22" t="s">
        <v>21</v>
      </c>
      <c r="M385" s="13" t="s">
        <v>320</v>
      </c>
      <c r="N385" s="13">
        <f>IFERROR(VLOOKUP($A:$A,[1]KION_IND_E_COM_LT!$A:$T,18,0),"")</f>
        <v>0</v>
      </c>
      <c r="O385" s="14"/>
      <c r="P385" s="15">
        <f t="shared" si="5"/>
        <v>0</v>
      </c>
      <c r="Q385" s="16"/>
      <c r="R385" s="17">
        <v>8</v>
      </c>
      <c r="S385" s="13" t="s">
        <v>0</v>
      </c>
    </row>
    <row r="386" spans="1:19" x14ac:dyDescent="0.25">
      <c r="A386" s="13">
        <v>982070052</v>
      </c>
      <c r="B386" s="27" t="s">
        <v>252</v>
      </c>
      <c r="C386" s="28">
        <v>0</v>
      </c>
      <c r="D386" s="13">
        <v>390336</v>
      </c>
      <c r="E386" s="13"/>
      <c r="F386" s="13">
        <v>300</v>
      </c>
      <c r="G386" s="13">
        <v>300</v>
      </c>
      <c r="H386" s="13"/>
      <c r="I386" s="13"/>
      <c r="J386" s="13"/>
      <c r="K386" s="13">
        <v>300</v>
      </c>
      <c r="L386" s="13"/>
      <c r="M386" s="13" t="s">
        <v>23</v>
      </c>
      <c r="N386" s="13">
        <f>IFERROR(VLOOKUP($A:$A,[1]KION_IND_E_COM_LT!$A:$T,18,0),"")</f>
        <v>0</v>
      </c>
      <c r="O386" s="14">
        <v>1</v>
      </c>
      <c r="P386" s="15">
        <f t="shared" si="5"/>
        <v>300</v>
      </c>
      <c r="Q386" s="16">
        <v>44081</v>
      </c>
      <c r="R386" s="17">
        <v>8</v>
      </c>
      <c r="S386" s="13" t="s">
        <v>0</v>
      </c>
    </row>
    <row r="387" spans="1:19" x14ac:dyDescent="0.25">
      <c r="A387" s="13">
        <v>982070081</v>
      </c>
      <c r="B387" s="27" t="s">
        <v>175</v>
      </c>
      <c r="C387" s="28">
        <v>0</v>
      </c>
      <c r="D387" s="13">
        <v>390336</v>
      </c>
      <c r="E387" s="13"/>
      <c r="F387" s="13">
        <v>350</v>
      </c>
      <c r="G387" s="13">
        <v>350</v>
      </c>
      <c r="H387" s="13"/>
      <c r="I387" s="13">
        <v>350</v>
      </c>
      <c r="J387" s="13"/>
      <c r="K387" s="13">
        <v>0</v>
      </c>
      <c r="L387" s="22" t="s">
        <v>21</v>
      </c>
      <c r="M387" s="13" t="s">
        <v>25</v>
      </c>
      <c r="N387" s="13">
        <f>IFERROR(VLOOKUP($A:$A,[1]KION_IND_E_COM_LT!$A:$T,18,0),"")</f>
        <v>0</v>
      </c>
      <c r="O387" s="14"/>
      <c r="P387" s="15">
        <f t="shared" ref="P387:P450" si="6">K387*O387</f>
        <v>0</v>
      </c>
      <c r="Q387" s="16"/>
      <c r="R387" s="17">
        <v>8</v>
      </c>
      <c r="S387" s="13" t="s">
        <v>0</v>
      </c>
    </row>
    <row r="388" spans="1:19" x14ac:dyDescent="0.25">
      <c r="A388" s="13">
        <v>982070082</v>
      </c>
      <c r="B388" s="27" t="s">
        <v>175</v>
      </c>
      <c r="C388" s="28">
        <v>0</v>
      </c>
      <c r="D388" s="13">
        <v>390336</v>
      </c>
      <c r="E388" s="13"/>
      <c r="F388" s="13">
        <v>300</v>
      </c>
      <c r="G388" s="13">
        <v>300</v>
      </c>
      <c r="H388" s="13"/>
      <c r="I388" s="13"/>
      <c r="J388" s="13"/>
      <c r="K388" s="13">
        <v>300</v>
      </c>
      <c r="L388" s="13"/>
      <c r="M388" s="13" t="s">
        <v>23</v>
      </c>
      <c r="N388" s="13">
        <f>IFERROR(VLOOKUP($A:$A,[1]KION_IND_E_COM_LT!$A:$T,18,0),"")</f>
        <v>0</v>
      </c>
      <c r="O388" s="14">
        <v>1</v>
      </c>
      <c r="P388" s="15">
        <f t="shared" si="6"/>
        <v>300</v>
      </c>
      <c r="Q388" s="16">
        <v>44081</v>
      </c>
      <c r="R388" s="17">
        <v>8</v>
      </c>
      <c r="S388" s="13" t="s">
        <v>0</v>
      </c>
    </row>
    <row r="389" spans="1:19" x14ac:dyDescent="0.25">
      <c r="A389" s="13">
        <v>982070091</v>
      </c>
      <c r="B389" s="27" t="s">
        <v>147</v>
      </c>
      <c r="C389" s="28">
        <v>0</v>
      </c>
      <c r="D389" s="13">
        <v>390336</v>
      </c>
      <c r="E389" s="13"/>
      <c r="F389" s="13">
        <v>400</v>
      </c>
      <c r="G389" s="13">
        <v>400</v>
      </c>
      <c r="H389" s="13"/>
      <c r="I389" s="13"/>
      <c r="J389" s="13"/>
      <c r="K389" s="13">
        <v>400</v>
      </c>
      <c r="L389" s="22" t="s">
        <v>21</v>
      </c>
      <c r="M389" s="13" t="s">
        <v>320</v>
      </c>
      <c r="N389" s="13">
        <f>IFERROR(VLOOKUP($A:$A,[1]KION_IND_E_COM_LT!$A:$T,18,0),"")</f>
        <v>0</v>
      </c>
      <c r="O389" s="14">
        <v>1</v>
      </c>
      <c r="P389" s="15">
        <f t="shared" si="6"/>
        <v>400</v>
      </c>
      <c r="Q389" s="16">
        <v>44067</v>
      </c>
      <c r="R389" s="17">
        <v>6</v>
      </c>
      <c r="S389" s="13" t="s">
        <v>0</v>
      </c>
    </row>
    <row r="390" spans="1:19" x14ac:dyDescent="0.25">
      <c r="A390" s="13">
        <v>982070092</v>
      </c>
      <c r="B390" s="27" t="s">
        <v>147</v>
      </c>
      <c r="C390" s="28">
        <v>0</v>
      </c>
      <c r="D390" s="13">
        <v>390336</v>
      </c>
      <c r="E390" s="13"/>
      <c r="F390" s="13">
        <v>300</v>
      </c>
      <c r="G390" s="13">
        <v>300</v>
      </c>
      <c r="H390" s="13"/>
      <c r="I390" s="13"/>
      <c r="J390" s="13"/>
      <c r="K390" s="13">
        <v>300</v>
      </c>
      <c r="L390" s="13"/>
      <c r="M390" s="13" t="s">
        <v>23</v>
      </c>
      <c r="N390" s="13">
        <f>IFERROR(VLOOKUP($A:$A,[1]KION_IND_E_COM_LT!$A:$T,18,0),"")</f>
        <v>0</v>
      </c>
      <c r="O390" s="14">
        <v>1</v>
      </c>
      <c r="P390" s="15">
        <f t="shared" si="6"/>
        <v>300</v>
      </c>
      <c r="Q390" s="16">
        <v>44109</v>
      </c>
      <c r="R390" s="17">
        <v>12</v>
      </c>
      <c r="S390" s="13" t="s">
        <v>0</v>
      </c>
    </row>
    <row r="391" spans="1:19" x14ac:dyDescent="0.25">
      <c r="A391" s="13">
        <v>982070101</v>
      </c>
      <c r="B391" s="27" t="s">
        <v>188</v>
      </c>
      <c r="C391" s="28">
        <v>0</v>
      </c>
      <c r="D391" s="13">
        <v>390336</v>
      </c>
      <c r="E391" s="13"/>
      <c r="F391" s="13">
        <v>700</v>
      </c>
      <c r="G391" s="13">
        <v>700</v>
      </c>
      <c r="H391" s="13"/>
      <c r="I391" s="13">
        <v>700</v>
      </c>
      <c r="J391" s="13"/>
      <c r="K391" s="13">
        <v>0</v>
      </c>
      <c r="L391" s="22" t="s">
        <v>21</v>
      </c>
      <c r="M391" s="13" t="s">
        <v>60</v>
      </c>
      <c r="N391" s="13" t="str">
        <f>IFERROR(VLOOKUP($A:$A,[1]KION_IND_E_COM_LT!$A:$T,18,0),"")</f>
        <v>10/08 - A</v>
      </c>
      <c r="O391" s="14"/>
      <c r="P391" s="15">
        <f t="shared" si="6"/>
        <v>0</v>
      </c>
      <c r="Q391" s="16"/>
      <c r="R391" s="17" t="s">
        <v>3</v>
      </c>
      <c r="S391" s="13" t="s">
        <v>0</v>
      </c>
    </row>
    <row r="392" spans="1:19" x14ac:dyDescent="0.25">
      <c r="A392" s="13">
        <v>982070111</v>
      </c>
      <c r="B392" s="27" t="s">
        <v>139</v>
      </c>
      <c r="C392" s="28">
        <v>0</v>
      </c>
      <c r="D392" s="13">
        <v>390336</v>
      </c>
      <c r="E392" s="13"/>
      <c r="F392" s="13">
        <v>350</v>
      </c>
      <c r="G392" s="13">
        <v>350</v>
      </c>
      <c r="H392" s="13"/>
      <c r="I392" s="13"/>
      <c r="J392" s="13"/>
      <c r="K392" s="13">
        <v>350</v>
      </c>
      <c r="L392" s="22" t="s">
        <v>21</v>
      </c>
      <c r="M392" s="13" t="s">
        <v>320</v>
      </c>
      <c r="N392" s="22" t="s">
        <v>63</v>
      </c>
      <c r="O392" s="14">
        <v>1</v>
      </c>
      <c r="P392" s="15">
        <f t="shared" si="6"/>
        <v>350</v>
      </c>
      <c r="Q392" s="16">
        <v>44060</v>
      </c>
      <c r="R392" s="17">
        <v>5</v>
      </c>
      <c r="S392" s="13" t="s">
        <v>0</v>
      </c>
    </row>
    <row r="393" spans="1:19" x14ac:dyDescent="0.25">
      <c r="A393" s="13">
        <v>982070112</v>
      </c>
      <c r="B393" s="27" t="s">
        <v>139</v>
      </c>
      <c r="C393" s="28">
        <v>0</v>
      </c>
      <c r="D393" s="13">
        <v>390336</v>
      </c>
      <c r="E393" s="13"/>
      <c r="F393" s="13">
        <v>300</v>
      </c>
      <c r="G393" s="13">
        <v>300</v>
      </c>
      <c r="H393" s="13"/>
      <c r="I393" s="13"/>
      <c r="J393" s="13"/>
      <c r="K393" s="13">
        <v>300</v>
      </c>
      <c r="L393" s="13"/>
      <c r="M393" s="13" t="s">
        <v>23</v>
      </c>
      <c r="N393" s="13">
        <f>IFERROR(VLOOKUP($A:$A,[1]KION_IND_E_COM_LT!$A:$T,18,0),"")</f>
        <v>0</v>
      </c>
      <c r="O393" s="14">
        <v>1</v>
      </c>
      <c r="P393" s="15">
        <f t="shared" si="6"/>
        <v>300</v>
      </c>
      <c r="Q393" s="16">
        <v>44081</v>
      </c>
      <c r="R393" s="17">
        <v>8</v>
      </c>
      <c r="S393" s="13" t="s">
        <v>0</v>
      </c>
    </row>
    <row r="394" spans="1:19" x14ac:dyDescent="0.25">
      <c r="A394" s="13">
        <v>982070191</v>
      </c>
      <c r="B394" s="27" t="s">
        <v>127</v>
      </c>
      <c r="C394" s="28">
        <v>0</v>
      </c>
      <c r="D394" s="13">
        <v>390336</v>
      </c>
      <c r="E394" s="13"/>
      <c r="F394" s="13">
        <v>500</v>
      </c>
      <c r="G394" s="13">
        <v>500</v>
      </c>
      <c r="H394" s="13"/>
      <c r="I394" s="13"/>
      <c r="J394" s="13"/>
      <c r="K394" s="13">
        <v>500</v>
      </c>
      <c r="L394" s="22" t="s">
        <v>21</v>
      </c>
      <c r="M394" s="13" t="s">
        <v>320</v>
      </c>
      <c r="N394" s="13">
        <f>IFERROR(VLOOKUP($A:$A,[1]KION_IND_E_COM_LT!$A:$T,18,0),"")</f>
        <v>0</v>
      </c>
      <c r="O394" s="14">
        <v>1</v>
      </c>
      <c r="P394" s="15">
        <f t="shared" si="6"/>
        <v>500</v>
      </c>
      <c r="Q394" s="16">
        <v>44067</v>
      </c>
      <c r="R394" s="17">
        <v>6</v>
      </c>
      <c r="S394" s="13" t="s">
        <v>0</v>
      </c>
    </row>
    <row r="395" spans="1:19" x14ac:dyDescent="0.25">
      <c r="A395" s="13">
        <v>982070201</v>
      </c>
      <c r="B395" s="27" t="s">
        <v>187</v>
      </c>
      <c r="C395" s="28">
        <v>0</v>
      </c>
      <c r="D395" s="13">
        <v>390336</v>
      </c>
      <c r="E395" s="13"/>
      <c r="F395" s="13">
        <v>610</v>
      </c>
      <c r="G395" s="13">
        <v>610</v>
      </c>
      <c r="H395" s="13"/>
      <c r="I395" s="13">
        <v>610</v>
      </c>
      <c r="J395" s="13"/>
      <c r="K395" s="13">
        <v>0</v>
      </c>
      <c r="L395" s="22" t="s">
        <v>21</v>
      </c>
      <c r="M395" s="13" t="s">
        <v>320</v>
      </c>
      <c r="N395" s="13" t="str">
        <f>IFERROR(VLOOKUP($A:$A,[1]KION_IND_E_COM_LT!$A:$T,18,0),"")</f>
        <v>06/08 - B</v>
      </c>
      <c r="O395" s="14"/>
      <c r="P395" s="15">
        <f t="shared" si="6"/>
        <v>0</v>
      </c>
      <c r="Q395" s="16"/>
      <c r="R395" s="17" t="s">
        <v>3</v>
      </c>
      <c r="S395" s="13" t="s">
        <v>0</v>
      </c>
    </row>
    <row r="396" spans="1:19" x14ac:dyDescent="0.25">
      <c r="A396" s="13">
        <v>982070221</v>
      </c>
      <c r="B396" s="27" t="s">
        <v>140</v>
      </c>
      <c r="C396" s="28">
        <v>0</v>
      </c>
      <c r="D396" s="13">
        <v>390336</v>
      </c>
      <c r="E396" s="13"/>
      <c r="F396" s="13">
        <v>700</v>
      </c>
      <c r="G396" s="13">
        <v>700</v>
      </c>
      <c r="H396" s="13"/>
      <c r="I396" s="13"/>
      <c r="J396" s="13"/>
      <c r="K396" s="13">
        <v>700</v>
      </c>
      <c r="L396" s="22" t="s">
        <v>21</v>
      </c>
      <c r="M396" s="13" t="s">
        <v>60</v>
      </c>
      <c r="N396" s="13">
        <f>IFERROR(VLOOKUP($A:$A,[1]KION_IND_E_COM_LT!$A:$T,18,0),"")</f>
        <v>0</v>
      </c>
      <c r="O396" s="14">
        <v>1</v>
      </c>
      <c r="P396" s="15">
        <f t="shared" si="6"/>
        <v>700</v>
      </c>
      <c r="Q396" s="16">
        <v>44060</v>
      </c>
      <c r="R396" s="17">
        <v>5</v>
      </c>
      <c r="S396" s="13" t="s">
        <v>0</v>
      </c>
    </row>
    <row r="397" spans="1:19" x14ac:dyDescent="0.25">
      <c r="A397" s="13">
        <v>982070222</v>
      </c>
      <c r="B397" s="27" t="s">
        <v>140</v>
      </c>
      <c r="C397" s="28">
        <v>0</v>
      </c>
      <c r="D397" s="13">
        <v>390336</v>
      </c>
      <c r="E397" s="13"/>
      <c r="F397" s="13">
        <v>600</v>
      </c>
      <c r="G397" s="13">
        <v>600</v>
      </c>
      <c r="H397" s="13"/>
      <c r="I397" s="13"/>
      <c r="J397" s="13"/>
      <c r="K397" s="13">
        <v>600</v>
      </c>
      <c r="L397" s="22" t="s">
        <v>21</v>
      </c>
      <c r="M397" s="13" t="s">
        <v>60</v>
      </c>
      <c r="N397" s="13">
        <f>IFERROR(VLOOKUP($A:$A,[1]KION_IND_E_COM_LT!$A:$T,18,0),"")</f>
        <v>0</v>
      </c>
      <c r="O397" s="14">
        <v>1</v>
      </c>
      <c r="P397" s="15">
        <f t="shared" si="6"/>
        <v>600</v>
      </c>
      <c r="Q397" s="16">
        <v>44081</v>
      </c>
      <c r="R397" s="17">
        <v>8</v>
      </c>
      <c r="S397" s="13" t="s">
        <v>0</v>
      </c>
    </row>
    <row r="398" spans="1:19" x14ac:dyDescent="0.25">
      <c r="A398" s="13">
        <v>982073071</v>
      </c>
      <c r="B398" s="27" t="s">
        <v>201</v>
      </c>
      <c r="C398" s="28">
        <v>0</v>
      </c>
      <c r="D398" s="13">
        <v>390336</v>
      </c>
      <c r="E398" s="13"/>
      <c r="F398" s="13">
        <v>90</v>
      </c>
      <c r="G398" s="13">
        <v>90</v>
      </c>
      <c r="H398" s="13"/>
      <c r="I398" s="13"/>
      <c r="J398" s="13"/>
      <c r="K398" s="13">
        <v>90</v>
      </c>
      <c r="L398" s="22" t="s">
        <v>21</v>
      </c>
      <c r="M398" s="13" t="s">
        <v>60</v>
      </c>
      <c r="N398" s="13">
        <f>IFERROR(VLOOKUP($A:$A,[1]KION_IND_E_COM_LT!$A:$T,18,0),"")</f>
        <v>0</v>
      </c>
      <c r="O398" s="14">
        <v>1</v>
      </c>
      <c r="P398" s="15">
        <f t="shared" si="6"/>
        <v>90</v>
      </c>
      <c r="Q398" s="16">
        <v>44081</v>
      </c>
      <c r="R398" s="17">
        <v>8</v>
      </c>
      <c r="S398" s="13" t="s">
        <v>0</v>
      </c>
    </row>
    <row r="399" spans="1:19" x14ac:dyDescent="0.25">
      <c r="A399" s="13">
        <v>982073081</v>
      </c>
      <c r="B399" s="27" t="s">
        <v>172</v>
      </c>
      <c r="C399" s="28">
        <v>0</v>
      </c>
      <c r="D399" s="13">
        <v>390336</v>
      </c>
      <c r="E399" s="13"/>
      <c r="F399" s="13">
        <v>100</v>
      </c>
      <c r="G399" s="13">
        <v>100</v>
      </c>
      <c r="H399" s="13"/>
      <c r="I399" s="13"/>
      <c r="J399" s="13"/>
      <c r="K399" s="13">
        <v>100</v>
      </c>
      <c r="L399" s="22" t="s">
        <v>21</v>
      </c>
      <c r="M399" s="13" t="s">
        <v>320</v>
      </c>
      <c r="N399" s="13">
        <f>IFERROR(VLOOKUP($A:$A,[1]KION_IND_E_COM_LT!$A:$T,18,0),"")</f>
        <v>0</v>
      </c>
      <c r="O399" s="14">
        <v>1</v>
      </c>
      <c r="P399" s="15">
        <f t="shared" si="6"/>
        <v>100</v>
      </c>
      <c r="Q399" s="16">
        <v>44081</v>
      </c>
      <c r="R399" s="17">
        <v>8</v>
      </c>
      <c r="S399" s="13" t="s">
        <v>0</v>
      </c>
    </row>
    <row r="400" spans="1:19" x14ac:dyDescent="0.25">
      <c r="A400" s="13">
        <v>982073171</v>
      </c>
      <c r="B400" s="27" t="s">
        <v>123</v>
      </c>
      <c r="C400" s="28">
        <v>0</v>
      </c>
      <c r="D400" s="13">
        <v>390336</v>
      </c>
      <c r="E400" s="13"/>
      <c r="F400" s="13">
        <v>100</v>
      </c>
      <c r="G400" s="13">
        <v>100</v>
      </c>
      <c r="H400" s="13"/>
      <c r="I400" s="13"/>
      <c r="J400" s="13"/>
      <c r="K400" s="13">
        <v>100</v>
      </c>
      <c r="L400" s="22" t="s">
        <v>21</v>
      </c>
      <c r="M400" s="13" t="s">
        <v>320</v>
      </c>
      <c r="N400" s="13">
        <f>IFERROR(VLOOKUP($A:$A,[1]KION_IND_E_COM_LT!$A:$T,18,0),"")</f>
        <v>0</v>
      </c>
      <c r="O400" s="14">
        <v>1</v>
      </c>
      <c r="P400" s="15">
        <f t="shared" si="6"/>
        <v>100</v>
      </c>
      <c r="Q400" s="16">
        <v>44081</v>
      </c>
      <c r="R400" s="17">
        <v>8</v>
      </c>
      <c r="S400" s="13" t="s">
        <v>0</v>
      </c>
    </row>
    <row r="401" spans="1:19" x14ac:dyDescent="0.25">
      <c r="A401" s="13">
        <v>982073791</v>
      </c>
      <c r="B401" s="27" t="s">
        <v>105</v>
      </c>
      <c r="C401" s="28">
        <v>4</v>
      </c>
      <c r="D401" s="13">
        <v>390336</v>
      </c>
      <c r="E401" s="13"/>
      <c r="F401" s="13">
        <v>50</v>
      </c>
      <c r="G401" s="13">
        <v>50</v>
      </c>
      <c r="H401" s="13"/>
      <c r="I401" s="13"/>
      <c r="J401" s="13"/>
      <c r="K401" s="13">
        <v>50</v>
      </c>
      <c r="L401" s="13"/>
      <c r="M401" s="13" t="s">
        <v>23</v>
      </c>
      <c r="N401" s="13">
        <f>IFERROR(VLOOKUP($A:$A,[1]KION_IND_E_COM_LT!$A:$T,18,0),"")</f>
        <v>0</v>
      </c>
      <c r="O401" s="14">
        <v>1</v>
      </c>
      <c r="P401" s="15">
        <f t="shared" si="6"/>
        <v>50</v>
      </c>
      <c r="Q401" s="16" t="s">
        <v>3</v>
      </c>
      <c r="R401" s="17" t="s">
        <v>3</v>
      </c>
      <c r="S401" s="13" t="s">
        <v>0</v>
      </c>
    </row>
    <row r="402" spans="1:19" x14ac:dyDescent="0.25">
      <c r="A402" s="13">
        <v>982073961</v>
      </c>
      <c r="B402" s="27" t="s">
        <v>110</v>
      </c>
      <c r="C402" s="28">
        <v>3</v>
      </c>
      <c r="D402" s="13">
        <v>390336</v>
      </c>
      <c r="E402" s="13"/>
      <c r="F402" s="13">
        <v>150</v>
      </c>
      <c r="G402" s="13">
        <v>80</v>
      </c>
      <c r="H402" s="13"/>
      <c r="I402" s="13"/>
      <c r="J402" s="13">
        <v>80</v>
      </c>
      <c r="K402" s="13">
        <v>0</v>
      </c>
      <c r="L402" s="22" t="s">
        <v>21</v>
      </c>
      <c r="M402" s="22" t="s">
        <v>60</v>
      </c>
      <c r="N402" s="13">
        <f>IFERROR(VLOOKUP($A:$A,[1]KION_IND_E_COM_LT!$A:$T,18,0),"")</f>
        <v>0</v>
      </c>
      <c r="O402" s="14"/>
      <c r="P402" s="15">
        <f t="shared" si="6"/>
        <v>0</v>
      </c>
      <c r="Q402" s="16"/>
      <c r="R402" s="17">
        <v>5</v>
      </c>
      <c r="S402" s="13" t="s">
        <v>0</v>
      </c>
    </row>
    <row r="403" spans="1:19" x14ac:dyDescent="0.25">
      <c r="A403" s="13">
        <v>982073962</v>
      </c>
      <c r="B403" s="27" t="s">
        <v>110</v>
      </c>
      <c r="C403" s="28">
        <v>3</v>
      </c>
      <c r="D403" s="13">
        <v>390336</v>
      </c>
      <c r="E403" s="13"/>
      <c r="F403" s="13">
        <v>200</v>
      </c>
      <c r="G403" s="13">
        <v>200</v>
      </c>
      <c r="H403" s="13"/>
      <c r="I403" s="13"/>
      <c r="J403" s="13"/>
      <c r="K403" s="13">
        <v>200</v>
      </c>
      <c r="L403" s="22" t="s">
        <v>21</v>
      </c>
      <c r="M403" s="13" t="s">
        <v>60</v>
      </c>
      <c r="N403" s="22" t="s">
        <v>65</v>
      </c>
      <c r="O403" s="14">
        <v>1</v>
      </c>
      <c r="P403" s="15">
        <f t="shared" si="6"/>
        <v>200</v>
      </c>
      <c r="Q403" s="16">
        <v>44060</v>
      </c>
      <c r="R403" s="17">
        <v>5</v>
      </c>
      <c r="S403" s="13" t="s">
        <v>0</v>
      </c>
    </row>
    <row r="404" spans="1:19" x14ac:dyDescent="0.25">
      <c r="A404" s="13">
        <v>982073971</v>
      </c>
      <c r="B404" s="27" t="s">
        <v>267</v>
      </c>
      <c r="C404" s="28">
        <v>1</v>
      </c>
      <c r="D404" s="13">
        <v>390336</v>
      </c>
      <c r="E404" s="13"/>
      <c r="F404" s="13">
        <v>150</v>
      </c>
      <c r="G404" s="13">
        <v>110</v>
      </c>
      <c r="H404" s="13"/>
      <c r="I404" s="13">
        <v>110</v>
      </c>
      <c r="J404" s="13"/>
      <c r="K404" s="13">
        <v>0</v>
      </c>
      <c r="L404" s="22" t="s">
        <v>21</v>
      </c>
      <c r="M404" s="13" t="s">
        <v>320</v>
      </c>
      <c r="N404" s="13">
        <f>IFERROR(VLOOKUP($A:$A,[1]KION_IND_E_COM_LT!$A:$T,18,0),"")</f>
        <v>0</v>
      </c>
      <c r="O404" s="14"/>
      <c r="P404" s="15">
        <f t="shared" si="6"/>
        <v>0</v>
      </c>
      <c r="Q404" s="16"/>
      <c r="R404" s="17" t="s">
        <v>3</v>
      </c>
      <c r="S404" s="13" t="s">
        <v>0</v>
      </c>
    </row>
    <row r="405" spans="1:19" x14ac:dyDescent="0.25">
      <c r="A405" s="13">
        <v>982073972</v>
      </c>
      <c r="B405" s="27" t="s">
        <v>267</v>
      </c>
      <c r="C405" s="28">
        <v>1</v>
      </c>
      <c r="D405" s="13">
        <v>390336</v>
      </c>
      <c r="E405" s="13"/>
      <c r="F405" s="13">
        <v>200</v>
      </c>
      <c r="G405" s="13">
        <v>200</v>
      </c>
      <c r="H405" s="13"/>
      <c r="I405" s="13">
        <v>200</v>
      </c>
      <c r="J405" s="13"/>
      <c r="K405" s="13">
        <v>0</v>
      </c>
      <c r="L405" s="22" t="s">
        <v>21</v>
      </c>
      <c r="M405" s="13" t="s">
        <v>320</v>
      </c>
      <c r="N405" s="13" t="str">
        <f>IFERROR(VLOOKUP($A:$A,[1]KION_IND_E_COM_LT!$A:$T,18,0),"")</f>
        <v>10/08 - A</v>
      </c>
      <c r="O405" s="14"/>
      <c r="P405" s="15">
        <f t="shared" si="6"/>
        <v>0</v>
      </c>
      <c r="Q405" s="16"/>
      <c r="R405" s="17" t="s">
        <v>3</v>
      </c>
      <c r="S405" s="13" t="s">
        <v>0</v>
      </c>
    </row>
    <row r="406" spans="1:19" x14ac:dyDescent="0.25">
      <c r="A406" s="13">
        <v>982073991</v>
      </c>
      <c r="B406" s="27" t="s">
        <v>222</v>
      </c>
      <c r="C406" s="28">
        <v>1</v>
      </c>
      <c r="D406" s="13">
        <v>390336</v>
      </c>
      <c r="E406" s="13"/>
      <c r="F406" s="13">
        <v>150</v>
      </c>
      <c r="G406" s="13">
        <v>150</v>
      </c>
      <c r="H406" s="13"/>
      <c r="I406" s="13">
        <v>150</v>
      </c>
      <c r="J406" s="13"/>
      <c r="K406" s="13">
        <v>0</v>
      </c>
      <c r="L406" s="22" t="s">
        <v>21</v>
      </c>
      <c r="M406" s="13" t="s">
        <v>36</v>
      </c>
      <c r="N406" s="13" t="str">
        <f>IFERROR(VLOOKUP($A:$A,[1]KION_IND_E_COM_LT!$A:$T,18,0),"")</f>
        <v>07/08 - A</v>
      </c>
      <c r="O406" s="14"/>
      <c r="P406" s="15">
        <f t="shared" si="6"/>
        <v>0</v>
      </c>
      <c r="Q406" s="16"/>
      <c r="R406" s="17">
        <v>8</v>
      </c>
      <c r="S406" s="13" t="s">
        <v>0</v>
      </c>
    </row>
    <row r="407" spans="1:19" x14ac:dyDescent="0.25">
      <c r="A407" s="13">
        <v>982073992</v>
      </c>
      <c r="B407" s="27" t="s">
        <v>222</v>
      </c>
      <c r="C407" s="28">
        <v>1</v>
      </c>
      <c r="D407" s="13">
        <v>390336</v>
      </c>
      <c r="E407" s="13"/>
      <c r="F407" s="13">
        <v>110</v>
      </c>
      <c r="G407" s="13">
        <v>110</v>
      </c>
      <c r="H407" s="13"/>
      <c r="I407" s="13">
        <v>110</v>
      </c>
      <c r="J407" s="13"/>
      <c r="K407" s="13">
        <v>0</v>
      </c>
      <c r="L407" s="22" t="s">
        <v>21</v>
      </c>
      <c r="M407" s="13" t="s">
        <v>60</v>
      </c>
      <c r="N407" s="13" t="str">
        <f>IFERROR(VLOOKUP($A:$A,[1]KION_IND_E_COM_LT!$A:$T,18,0),"")</f>
        <v>10/08 - A</v>
      </c>
      <c r="O407" s="14"/>
      <c r="P407" s="15">
        <f t="shared" si="6"/>
        <v>0</v>
      </c>
      <c r="Q407" s="16"/>
      <c r="R407" s="17">
        <v>8</v>
      </c>
      <c r="S407" s="13" t="s">
        <v>0</v>
      </c>
    </row>
    <row r="408" spans="1:19" x14ac:dyDescent="0.25">
      <c r="A408" s="13">
        <v>982073993</v>
      </c>
      <c r="B408" s="27" t="s">
        <v>222</v>
      </c>
      <c r="C408" s="28">
        <v>1</v>
      </c>
      <c r="D408" s="13">
        <v>390336</v>
      </c>
      <c r="E408" s="13"/>
      <c r="F408" s="13">
        <v>100</v>
      </c>
      <c r="G408" s="13">
        <v>100</v>
      </c>
      <c r="H408" s="13"/>
      <c r="I408" s="13"/>
      <c r="J408" s="13"/>
      <c r="K408" s="13">
        <v>100</v>
      </c>
      <c r="L408" s="22" t="s">
        <v>21</v>
      </c>
      <c r="M408" s="13" t="s">
        <v>60</v>
      </c>
      <c r="N408" s="13">
        <f>IFERROR(VLOOKUP($A:$A,[1]KION_IND_E_COM_LT!$A:$T,18,0),"")</f>
        <v>0</v>
      </c>
      <c r="O408" s="14">
        <v>1</v>
      </c>
      <c r="P408" s="15">
        <f t="shared" si="6"/>
        <v>100</v>
      </c>
      <c r="Q408" s="16">
        <v>44081</v>
      </c>
      <c r="R408" s="17">
        <v>8</v>
      </c>
      <c r="S408" s="13" t="s">
        <v>0</v>
      </c>
    </row>
    <row r="409" spans="1:19" x14ac:dyDescent="0.25">
      <c r="A409" s="13">
        <v>982074001</v>
      </c>
      <c r="B409" s="27" t="s">
        <v>223</v>
      </c>
      <c r="C409" s="28">
        <v>0</v>
      </c>
      <c r="D409" s="13">
        <v>390336</v>
      </c>
      <c r="E409" s="13"/>
      <c r="F409" s="13">
        <v>310</v>
      </c>
      <c r="G409" s="13">
        <v>310</v>
      </c>
      <c r="H409" s="13"/>
      <c r="I409" s="13"/>
      <c r="J409" s="13"/>
      <c r="K409" s="13">
        <v>310</v>
      </c>
      <c r="L409" s="22" t="s">
        <v>21</v>
      </c>
      <c r="M409" s="13" t="s">
        <v>320</v>
      </c>
      <c r="N409" s="22" t="s">
        <v>63</v>
      </c>
      <c r="O409" s="14">
        <v>1</v>
      </c>
      <c r="P409" s="15">
        <f t="shared" si="6"/>
        <v>310</v>
      </c>
      <c r="Q409" s="16" t="s">
        <v>4</v>
      </c>
      <c r="R409" s="17">
        <v>3</v>
      </c>
      <c r="S409" s="13" t="s">
        <v>0</v>
      </c>
    </row>
    <row r="410" spans="1:19" x14ac:dyDescent="0.25">
      <c r="A410" s="13">
        <v>982074002</v>
      </c>
      <c r="B410" s="27" t="s">
        <v>223</v>
      </c>
      <c r="C410" s="28">
        <v>0</v>
      </c>
      <c r="D410" s="13">
        <v>390336</v>
      </c>
      <c r="E410" s="13"/>
      <c r="F410" s="13">
        <v>200</v>
      </c>
      <c r="G410" s="13">
        <v>200</v>
      </c>
      <c r="H410" s="13"/>
      <c r="I410" s="13"/>
      <c r="J410" s="13"/>
      <c r="K410" s="13">
        <v>200</v>
      </c>
      <c r="L410" s="22" t="s">
        <v>21</v>
      </c>
      <c r="M410" s="22" t="s">
        <v>60</v>
      </c>
      <c r="N410" s="13">
        <f>IFERROR(VLOOKUP($A:$A,[1]KION_IND_E_COM_LT!$A:$T,18,0),"")</f>
        <v>0</v>
      </c>
      <c r="O410" s="14">
        <v>1</v>
      </c>
      <c r="P410" s="15">
        <f t="shared" si="6"/>
        <v>200</v>
      </c>
      <c r="Q410" s="16">
        <v>44067</v>
      </c>
      <c r="R410" s="17">
        <v>6</v>
      </c>
      <c r="S410" s="13" t="s">
        <v>0</v>
      </c>
    </row>
    <row r="411" spans="1:19" x14ac:dyDescent="0.25">
      <c r="A411" s="13">
        <v>982074003</v>
      </c>
      <c r="B411" s="27" t="s">
        <v>223</v>
      </c>
      <c r="C411" s="28">
        <v>0</v>
      </c>
      <c r="D411" s="13">
        <v>390336</v>
      </c>
      <c r="E411" s="13"/>
      <c r="F411" s="13">
        <v>200</v>
      </c>
      <c r="G411" s="13">
        <v>200</v>
      </c>
      <c r="H411" s="13"/>
      <c r="I411" s="13"/>
      <c r="J411" s="13"/>
      <c r="K411" s="13">
        <v>200</v>
      </c>
      <c r="L411" s="22" t="s">
        <v>21</v>
      </c>
      <c r="M411" s="13" t="s">
        <v>60</v>
      </c>
      <c r="N411" s="13">
        <f>IFERROR(VLOOKUP($A:$A,[1]KION_IND_E_COM_LT!$A:$T,18,0),"")</f>
        <v>0</v>
      </c>
      <c r="O411" s="14">
        <v>1</v>
      </c>
      <c r="P411" s="15">
        <f t="shared" si="6"/>
        <v>200</v>
      </c>
      <c r="Q411" s="16">
        <v>44081</v>
      </c>
      <c r="R411" s="17">
        <v>8</v>
      </c>
      <c r="S411" s="13" t="s">
        <v>0</v>
      </c>
    </row>
    <row r="412" spans="1:19" x14ac:dyDescent="0.25">
      <c r="A412" s="13">
        <v>982074021</v>
      </c>
      <c r="B412" s="27" t="s">
        <v>279</v>
      </c>
      <c r="C412" s="28">
        <v>0</v>
      </c>
      <c r="D412" s="13">
        <v>390336</v>
      </c>
      <c r="E412" s="13"/>
      <c r="F412" s="13">
        <v>250</v>
      </c>
      <c r="G412" s="13">
        <v>250</v>
      </c>
      <c r="H412" s="13"/>
      <c r="I412" s="13"/>
      <c r="J412" s="13"/>
      <c r="K412" s="13">
        <v>250</v>
      </c>
      <c r="L412" s="22" t="s">
        <v>21</v>
      </c>
      <c r="M412" s="13" t="s">
        <v>320</v>
      </c>
      <c r="N412" s="13">
        <f>IFERROR(VLOOKUP($A:$A,[1]KION_IND_E_COM_LT!$A:$T,18,0),"")</f>
        <v>0</v>
      </c>
      <c r="O412" s="14">
        <v>1</v>
      </c>
      <c r="P412" s="15">
        <f t="shared" si="6"/>
        <v>250</v>
      </c>
      <c r="Q412" s="16">
        <v>44074</v>
      </c>
      <c r="R412" s="17">
        <v>7</v>
      </c>
      <c r="S412" s="13" t="s">
        <v>0</v>
      </c>
    </row>
    <row r="413" spans="1:19" x14ac:dyDescent="0.25">
      <c r="A413" s="13">
        <v>982074022</v>
      </c>
      <c r="B413" s="27" t="s">
        <v>279</v>
      </c>
      <c r="C413" s="28">
        <v>0</v>
      </c>
      <c r="D413" s="13">
        <v>390336</v>
      </c>
      <c r="E413" s="13"/>
      <c r="F413" s="13">
        <v>220</v>
      </c>
      <c r="G413" s="13">
        <v>220</v>
      </c>
      <c r="H413" s="13"/>
      <c r="I413" s="13"/>
      <c r="J413" s="13"/>
      <c r="K413" s="13">
        <v>220</v>
      </c>
      <c r="L413" s="13"/>
      <c r="M413" s="13" t="s">
        <v>23</v>
      </c>
      <c r="N413" s="13">
        <f>IFERROR(VLOOKUP($A:$A,[1]KION_IND_E_COM_LT!$A:$T,18,0),"")</f>
        <v>0</v>
      </c>
      <c r="O413" s="14">
        <v>1</v>
      </c>
      <c r="P413" s="15">
        <f t="shared" si="6"/>
        <v>220</v>
      </c>
      <c r="Q413" s="16">
        <v>44095</v>
      </c>
      <c r="R413" s="17">
        <v>10</v>
      </c>
      <c r="S413" s="13" t="s">
        <v>0</v>
      </c>
    </row>
    <row r="414" spans="1:19" x14ac:dyDescent="0.25">
      <c r="A414" s="13">
        <v>982074023</v>
      </c>
      <c r="B414" s="27" t="s">
        <v>279</v>
      </c>
      <c r="C414" s="28">
        <v>0</v>
      </c>
      <c r="D414" s="13">
        <v>390336</v>
      </c>
      <c r="E414" s="13"/>
      <c r="F414" s="13">
        <v>170</v>
      </c>
      <c r="G414" s="13">
        <v>170</v>
      </c>
      <c r="H414" s="13"/>
      <c r="I414" s="13"/>
      <c r="J414" s="13"/>
      <c r="K414" s="13">
        <v>170</v>
      </c>
      <c r="L414" s="13"/>
      <c r="M414" s="13" t="s">
        <v>23</v>
      </c>
      <c r="N414" s="13">
        <f>IFERROR(VLOOKUP($A:$A,[1]KION_IND_E_COM_LT!$A:$T,18,0),"")</f>
        <v>0</v>
      </c>
      <c r="O414" s="14">
        <v>1</v>
      </c>
      <c r="P414" s="15">
        <f t="shared" si="6"/>
        <v>170</v>
      </c>
      <c r="Q414" s="16">
        <v>44116</v>
      </c>
      <c r="R414" s="17">
        <v>13</v>
      </c>
      <c r="S414" s="13" t="s">
        <v>0</v>
      </c>
    </row>
    <row r="415" spans="1:19" x14ac:dyDescent="0.25">
      <c r="A415" s="13">
        <v>982074031</v>
      </c>
      <c r="B415" s="27" t="s">
        <v>236</v>
      </c>
      <c r="C415" s="28">
        <v>1</v>
      </c>
      <c r="D415" s="13">
        <v>390336</v>
      </c>
      <c r="E415" s="13"/>
      <c r="F415" s="13">
        <v>260</v>
      </c>
      <c r="G415" s="13">
        <v>200</v>
      </c>
      <c r="H415" s="13"/>
      <c r="I415" s="13">
        <v>200</v>
      </c>
      <c r="J415" s="13"/>
      <c r="K415" s="13">
        <v>0</v>
      </c>
      <c r="L415" s="22" t="s">
        <v>21</v>
      </c>
      <c r="M415" s="13" t="s">
        <v>32</v>
      </c>
      <c r="N415" s="13">
        <f>IFERROR(VLOOKUP($A:$A,[1]KION_IND_E_COM_LT!$A:$T,18,0),"")</f>
        <v>0</v>
      </c>
      <c r="O415" s="14"/>
      <c r="P415" s="15">
        <f t="shared" si="6"/>
        <v>0</v>
      </c>
      <c r="Q415" s="16"/>
      <c r="R415" s="17">
        <v>7</v>
      </c>
      <c r="S415" s="13" t="s">
        <v>0</v>
      </c>
    </row>
    <row r="416" spans="1:19" x14ac:dyDescent="0.25">
      <c r="A416" s="13">
        <v>982074032</v>
      </c>
      <c r="B416" s="27" t="s">
        <v>236</v>
      </c>
      <c r="C416" s="28">
        <v>1</v>
      </c>
      <c r="D416" s="13">
        <v>390336</v>
      </c>
      <c r="E416" s="13"/>
      <c r="F416" s="13">
        <v>200</v>
      </c>
      <c r="G416" s="13">
        <v>200</v>
      </c>
      <c r="H416" s="13"/>
      <c r="I416" s="13"/>
      <c r="J416" s="13"/>
      <c r="K416" s="13">
        <v>200</v>
      </c>
      <c r="L416" s="22" t="s">
        <v>21</v>
      </c>
      <c r="M416" s="13" t="s">
        <v>320</v>
      </c>
      <c r="N416" s="13">
        <f>IFERROR(VLOOKUP($A:$A,[1]KION_IND_E_COM_LT!$A:$T,18,0),"")</f>
        <v>0</v>
      </c>
      <c r="O416" s="14">
        <v>1</v>
      </c>
      <c r="P416" s="15">
        <f t="shared" si="6"/>
        <v>200</v>
      </c>
      <c r="Q416" s="16">
        <v>44074</v>
      </c>
      <c r="R416" s="17">
        <v>7</v>
      </c>
      <c r="S416" s="13" t="s">
        <v>0</v>
      </c>
    </row>
    <row r="417" spans="1:19" x14ac:dyDescent="0.25">
      <c r="A417" s="13">
        <v>982074033</v>
      </c>
      <c r="B417" s="27" t="s">
        <v>236</v>
      </c>
      <c r="C417" s="28">
        <v>1</v>
      </c>
      <c r="D417" s="13">
        <v>390336</v>
      </c>
      <c r="E417" s="13"/>
      <c r="F417" s="13">
        <v>200</v>
      </c>
      <c r="G417" s="13">
        <v>200</v>
      </c>
      <c r="H417" s="13"/>
      <c r="I417" s="13"/>
      <c r="J417" s="13"/>
      <c r="K417" s="13">
        <v>200</v>
      </c>
      <c r="L417" s="13"/>
      <c r="M417" s="13" t="s">
        <v>23</v>
      </c>
      <c r="N417" s="13">
        <f>IFERROR(VLOOKUP($A:$A,[1]KION_IND_E_COM_LT!$A:$T,18,0),"")</f>
        <v>0</v>
      </c>
      <c r="O417" s="14">
        <v>1</v>
      </c>
      <c r="P417" s="15">
        <f t="shared" si="6"/>
        <v>200</v>
      </c>
      <c r="Q417" s="16">
        <v>44088</v>
      </c>
      <c r="R417" s="17">
        <v>9</v>
      </c>
      <c r="S417" s="13" t="s">
        <v>0</v>
      </c>
    </row>
    <row r="418" spans="1:19" x14ac:dyDescent="0.25">
      <c r="A418" s="13">
        <v>982074041</v>
      </c>
      <c r="B418" s="27" t="s">
        <v>271</v>
      </c>
      <c r="C418" s="28">
        <v>0</v>
      </c>
      <c r="D418" s="13">
        <v>390336</v>
      </c>
      <c r="E418" s="13"/>
      <c r="F418" s="13">
        <v>260</v>
      </c>
      <c r="G418" s="13">
        <v>260</v>
      </c>
      <c r="H418" s="13"/>
      <c r="I418" s="13"/>
      <c r="J418" s="13"/>
      <c r="K418" s="13">
        <v>260</v>
      </c>
      <c r="L418" s="22" t="s">
        <v>21</v>
      </c>
      <c r="M418" s="13" t="s">
        <v>59</v>
      </c>
      <c r="N418" s="22" t="s">
        <v>63</v>
      </c>
      <c r="O418" s="14">
        <v>1</v>
      </c>
      <c r="P418" s="15">
        <f t="shared" si="6"/>
        <v>260</v>
      </c>
      <c r="Q418" s="16">
        <v>44053</v>
      </c>
      <c r="R418" s="17">
        <v>4</v>
      </c>
      <c r="S418" s="13" t="s">
        <v>0</v>
      </c>
    </row>
    <row r="419" spans="1:19" x14ac:dyDescent="0.25">
      <c r="A419" s="13">
        <v>982074042</v>
      </c>
      <c r="B419" s="27" t="s">
        <v>271</v>
      </c>
      <c r="C419" s="28">
        <v>0</v>
      </c>
      <c r="D419" s="13">
        <v>390336</v>
      </c>
      <c r="E419" s="13"/>
      <c r="F419" s="13">
        <v>200</v>
      </c>
      <c r="G419" s="13">
        <v>200</v>
      </c>
      <c r="H419" s="13"/>
      <c r="I419" s="13"/>
      <c r="J419" s="13"/>
      <c r="K419" s="13">
        <v>200</v>
      </c>
      <c r="L419" s="22" t="s">
        <v>21</v>
      </c>
      <c r="M419" s="13" t="s">
        <v>59</v>
      </c>
      <c r="N419" s="13">
        <f>IFERROR(VLOOKUP($A:$A,[1]KION_IND_E_COM_LT!$A:$T,18,0),"")</f>
        <v>0</v>
      </c>
      <c r="O419" s="14">
        <v>1</v>
      </c>
      <c r="P419" s="15">
        <f t="shared" si="6"/>
        <v>200</v>
      </c>
      <c r="Q419" s="16">
        <v>44074</v>
      </c>
      <c r="R419" s="17">
        <v>7</v>
      </c>
      <c r="S419" s="13" t="s">
        <v>0</v>
      </c>
    </row>
    <row r="420" spans="1:19" x14ac:dyDescent="0.25">
      <c r="A420" s="13">
        <v>982074043</v>
      </c>
      <c r="B420" s="27" t="s">
        <v>271</v>
      </c>
      <c r="C420" s="28">
        <v>0</v>
      </c>
      <c r="D420" s="13">
        <v>390336</v>
      </c>
      <c r="E420" s="13"/>
      <c r="F420" s="13">
        <v>200</v>
      </c>
      <c r="G420" s="13">
        <v>200</v>
      </c>
      <c r="H420" s="13"/>
      <c r="I420" s="13"/>
      <c r="J420" s="13"/>
      <c r="K420" s="13">
        <v>200</v>
      </c>
      <c r="L420" s="13"/>
      <c r="M420" s="13" t="s">
        <v>23</v>
      </c>
      <c r="N420" s="13">
        <f>IFERROR(VLOOKUP($A:$A,[1]KION_IND_E_COM_LT!$A:$T,18,0),"")</f>
        <v>0</v>
      </c>
      <c r="O420" s="14">
        <v>1</v>
      </c>
      <c r="P420" s="15">
        <f t="shared" si="6"/>
        <v>200</v>
      </c>
      <c r="Q420" s="16">
        <v>44088</v>
      </c>
      <c r="R420" s="17">
        <v>9</v>
      </c>
      <c r="S420" s="13" t="s">
        <v>0</v>
      </c>
    </row>
    <row r="421" spans="1:19" x14ac:dyDescent="0.25">
      <c r="A421" s="13">
        <v>982074061</v>
      </c>
      <c r="B421" s="27" t="s">
        <v>234</v>
      </c>
      <c r="C421" s="28">
        <v>0</v>
      </c>
      <c r="D421" s="13">
        <v>390336</v>
      </c>
      <c r="E421" s="13"/>
      <c r="F421" s="13">
        <v>1050</v>
      </c>
      <c r="G421" s="13">
        <v>1050</v>
      </c>
      <c r="H421" s="13"/>
      <c r="I421" s="13">
        <v>1050</v>
      </c>
      <c r="J421" s="13"/>
      <c r="K421" s="13">
        <v>0</v>
      </c>
      <c r="L421" s="22" t="s">
        <v>21</v>
      </c>
      <c r="M421" s="13" t="s">
        <v>32</v>
      </c>
      <c r="N421" s="13" t="str">
        <f>IFERROR(VLOOKUP($A:$A,[1]KION_IND_E_COM_LT!$A:$T,18,0),"")</f>
        <v>06/08 - B</v>
      </c>
      <c r="O421" s="14"/>
      <c r="P421" s="15">
        <f t="shared" si="6"/>
        <v>0</v>
      </c>
      <c r="Q421" s="16"/>
      <c r="R421" s="17">
        <v>7</v>
      </c>
      <c r="S421" s="13" t="s">
        <v>0</v>
      </c>
    </row>
    <row r="422" spans="1:19" x14ac:dyDescent="0.25">
      <c r="A422" s="13">
        <v>982074062</v>
      </c>
      <c r="B422" s="27" t="s">
        <v>234</v>
      </c>
      <c r="C422" s="28">
        <v>0</v>
      </c>
      <c r="D422" s="13">
        <v>390336</v>
      </c>
      <c r="E422" s="13"/>
      <c r="F422" s="13">
        <v>800</v>
      </c>
      <c r="G422" s="13">
        <v>800</v>
      </c>
      <c r="H422" s="13"/>
      <c r="I422" s="13"/>
      <c r="J422" s="13"/>
      <c r="K422" s="13">
        <v>800</v>
      </c>
      <c r="L422" s="22" t="s">
        <v>21</v>
      </c>
      <c r="M422" s="13" t="s">
        <v>320</v>
      </c>
      <c r="N422" s="13">
        <f>IFERROR(VLOOKUP($A:$A,[1]KION_IND_E_COM_LT!$A:$T,18,0),"")</f>
        <v>0</v>
      </c>
      <c r="O422" s="14">
        <v>1</v>
      </c>
      <c r="P422" s="15">
        <f t="shared" si="6"/>
        <v>800</v>
      </c>
      <c r="Q422" s="16">
        <v>44074</v>
      </c>
      <c r="R422" s="17">
        <v>7</v>
      </c>
      <c r="S422" s="13" t="s">
        <v>0</v>
      </c>
    </row>
    <row r="423" spans="1:19" x14ac:dyDescent="0.25">
      <c r="A423" s="13">
        <v>982074063</v>
      </c>
      <c r="B423" s="27" t="s">
        <v>234</v>
      </c>
      <c r="C423" s="28">
        <v>0</v>
      </c>
      <c r="D423" s="13">
        <v>390336</v>
      </c>
      <c r="E423" s="13"/>
      <c r="F423" s="13">
        <v>800</v>
      </c>
      <c r="G423" s="13">
        <v>800</v>
      </c>
      <c r="H423" s="13"/>
      <c r="I423" s="13"/>
      <c r="J423" s="13"/>
      <c r="K423" s="13">
        <v>800</v>
      </c>
      <c r="L423" s="13"/>
      <c r="M423" s="13" t="s">
        <v>23</v>
      </c>
      <c r="N423" s="13">
        <f>IFERROR(VLOOKUP($A:$A,[1]KION_IND_E_COM_LT!$A:$T,18,0),"")</f>
        <v>0</v>
      </c>
      <c r="O423" s="14">
        <v>1</v>
      </c>
      <c r="P423" s="15">
        <f t="shared" si="6"/>
        <v>800</v>
      </c>
      <c r="Q423" s="16">
        <v>44088</v>
      </c>
      <c r="R423" s="17">
        <v>9</v>
      </c>
      <c r="S423" s="13" t="s">
        <v>0</v>
      </c>
    </row>
    <row r="424" spans="1:19" x14ac:dyDescent="0.25">
      <c r="A424" s="13">
        <v>982074081</v>
      </c>
      <c r="B424" s="27" t="s">
        <v>235</v>
      </c>
      <c r="C424" s="28">
        <v>0</v>
      </c>
      <c r="D424" s="13">
        <v>390336</v>
      </c>
      <c r="E424" s="13"/>
      <c r="F424" s="13">
        <v>260</v>
      </c>
      <c r="G424" s="13">
        <v>260</v>
      </c>
      <c r="H424" s="13"/>
      <c r="I424" s="13">
        <v>260</v>
      </c>
      <c r="J424" s="13"/>
      <c r="K424" s="13">
        <v>0</v>
      </c>
      <c r="L424" s="22" t="s">
        <v>21</v>
      </c>
      <c r="M424" s="13" t="s">
        <v>32</v>
      </c>
      <c r="N424" s="13" t="str">
        <f>IFERROR(VLOOKUP($A:$A,[1]KION_IND_E_COM_LT!$A:$T,18,0),"")</f>
        <v>06/08 - B</v>
      </c>
      <c r="O424" s="14"/>
      <c r="P424" s="15">
        <f t="shared" si="6"/>
        <v>0</v>
      </c>
      <c r="Q424" s="16"/>
      <c r="R424" s="17">
        <v>7</v>
      </c>
      <c r="S424" s="13" t="s">
        <v>0</v>
      </c>
    </row>
    <row r="425" spans="1:19" x14ac:dyDescent="0.25">
      <c r="A425" s="13">
        <v>982074082</v>
      </c>
      <c r="B425" s="27" t="s">
        <v>235</v>
      </c>
      <c r="C425" s="28">
        <v>0</v>
      </c>
      <c r="D425" s="13">
        <v>390336</v>
      </c>
      <c r="E425" s="13"/>
      <c r="F425" s="13">
        <v>200</v>
      </c>
      <c r="G425" s="13">
        <v>200</v>
      </c>
      <c r="H425" s="13"/>
      <c r="I425" s="13"/>
      <c r="J425" s="13"/>
      <c r="K425" s="13">
        <v>200</v>
      </c>
      <c r="L425" s="22" t="s">
        <v>21</v>
      </c>
      <c r="M425" s="13" t="s">
        <v>320</v>
      </c>
      <c r="N425" s="13">
        <f>IFERROR(VLOOKUP($A:$A,[1]KION_IND_E_COM_LT!$A:$T,18,0),"")</f>
        <v>0</v>
      </c>
      <c r="O425" s="14">
        <v>1</v>
      </c>
      <c r="P425" s="15">
        <f t="shared" si="6"/>
        <v>200</v>
      </c>
      <c r="Q425" s="16">
        <v>44074</v>
      </c>
      <c r="R425" s="17">
        <v>7</v>
      </c>
      <c r="S425" s="13" t="s">
        <v>0</v>
      </c>
    </row>
    <row r="426" spans="1:19" x14ac:dyDescent="0.25">
      <c r="A426" s="13">
        <v>982074083</v>
      </c>
      <c r="B426" s="27" t="s">
        <v>235</v>
      </c>
      <c r="C426" s="28">
        <v>0</v>
      </c>
      <c r="D426" s="13">
        <v>390336</v>
      </c>
      <c r="E426" s="13"/>
      <c r="F426" s="13">
        <v>200</v>
      </c>
      <c r="G426" s="13">
        <v>200</v>
      </c>
      <c r="H426" s="13"/>
      <c r="I426" s="13"/>
      <c r="J426" s="13"/>
      <c r="K426" s="13">
        <v>200</v>
      </c>
      <c r="L426" s="13"/>
      <c r="M426" s="13" t="s">
        <v>23</v>
      </c>
      <c r="N426" s="13">
        <f>IFERROR(VLOOKUP($A:$A,[1]KION_IND_E_COM_LT!$A:$T,18,0),"")</f>
        <v>0</v>
      </c>
      <c r="O426" s="14">
        <v>1</v>
      </c>
      <c r="P426" s="15">
        <f t="shared" si="6"/>
        <v>200</v>
      </c>
      <c r="Q426" s="16">
        <v>44088</v>
      </c>
      <c r="R426" s="17">
        <v>9</v>
      </c>
      <c r="S426" s="13" t="s">
        <v>0</v>
      </c>
    </row>
    <row r="427" spans="1:19" x14ac:dyDescent="0.25">
      <c r="A427" s="13">
        <v>982074091</v>
      </c>
      <c r="B427" s="27" t="s">
        <v>158</v>
      </c>
      <c r="C427" s="28">
        <v>0</v>
      </c>
      <c r="D427" s="13">
        <v>390336</v>
      </c>
      <c r="E427" s="13"/>
      <c r="F427" s="13">
        <v>260</v>
      </c>
      <c r="G427" s="13">
        <v>260</v>
      </c>
      <c r="H427" s="13"/>
      <c r="I427" s="13">
        <v>260</v>
      </c>
      <c r="J427" s="13"/>
      <c r="K427" s="13">
        <v>0</v>
      </c>
      <c r="L427" s="22" t="s">
        <v>21</v>
      </c>
      <c r="M427" s="13" t="s">
        <v>41</v>
      </c>
      <c r="N427" s="13" t="str">
        <f>IFERROR(VLOOKUP($A:$A,[1]KION_IND_E_COM_LT!$A:$T,18,0),"")</f>
        <v>10/08 - A</v>
      </c>
      <c r="O427" s="14"/>
      <c r="P427" s="15">
        <f t="shared" si="6"/>
        <v>0</v>
      </c>
      <c r="Q427" s="16"/>
      <c r="R427" s="17">
        <v>7</v>
      </c>
      <c r="S427" s="13" t="s">
        <v>0</v>
      </c>
    </row>
    <row r="428" spans="1:19" x14ac:dyDescent="0.25">
      <c r="A428" s="13">
        <v>982074092</v>
      </c>
      <c r="B428" s="27" t="s">
        <v>158</v>
      </c>
      <c r="C428" s="28">
        <v>0</v>
      </c>
      <c r="D428" s="13">
        <v>390336</v>
      </c>
      <c r="E428" s="13"/>
      <c r="F428" s="13">
        <v>200</v>
      </c>
      <c r="G428" s="13">
        <v>200</v>
      </c>
      <c r="H428" s="13"/>
      <c r="I428" s="13"/>
      <c r="J428" s="13"/>
      <c r="K428" s="13">
        <v>200</v>
      </c>
      <c r="L428" s="22" t="s">
        <v>21</v>
      </c>
      <c r="M428" s="22"/>
      <c r="N428" s="13">
        <f>IFERROR(VLOOKUP($A:$A,[1]KION_IND_E_COM_LT!$A:$T,18,0),"")</f>
        <v>0</v>
      </c>
      <c r="O428" s="14">
        <v>1</v>
      </c>
      <c r="P428" s="15">
        <f t="shared" si="6"/>
        <v>200</v>
      </c>
      <c r="Q428" s="16">
        <v>44074</v>
      </c>
      <c r="R428" s="17">
        <v>7</v>
      </c>
      <c r="S428" s="13" t="s">
        <v>0</v>
      </c>
    </row>
    <row r="429" spans="1:19" x14ac:dyDescent="0.25">
      <c r="A429" s="13">
        <v>982074093</v>
      </c>
      <c r="B429" s="27" t="s">
        <v>158</v>
      </c>
      <c r="C429" s="28">
        <v>0</v>
      </c>
      <c r="D429" s="13">
        <v>390336</v>
      </c>
      <c r="E429" s="13"/>
      <c r="F429" s="13">
        <v>200</v>
      </c>
      <c r="G429" s="13">
        <v>200</v>
      </c>
      <c r="H429" s="13"/>
      <c r="I429" s="13"/>
      <c r="J429" s="13"/>
      <c r="K429" s="13">
        <v>200</v>
      </c>
      <c r="L429" s="13"/>
      <c r="M429" s="13" t="s">
        <v>23</v>
      </c>
      <c r="N429" s="13">
        <f>IFERROR(VLOOKUP($A:$A,[1]KION_IND_E_COM_LT!$A:$T,18,0),"")</f>
        <v>0</v>
      </c>
      <c r="O429" s="14">
        <v>1</v>
      </c>
      <c r="P429" s="15">
        <f t="shared" si="6"/>
        <v>200</v>
      </c>
      <c r="Q429" s="16">
        <v>44088</v>
      </c>
      <c r="R429" s="17">
        <v>9</v>
      </c>
      <c r="S429" s="13" t="s">
        <v>0</v>
      </c>
    </row>
    <row r="430" spans="1:19" x14ac:dyDescent="0.25">
      <c r="A430" s="13">
        <v>982074111</v>
      </c>
      <c r="B430" s="27" t="s">
        <v>202</v>
      </c>
      <c r="C430" s="28">
        <v>2</v>
      </c>
      <c r="D430" s="13">
        <v>390336</v>
      </c>
      <c r="E430" s="13"/>
      <c r="F430" s="13">
        <v>250</v>
      </c>
      <c r="G430" s="13">
        <v>250</v>
      </c>
      <c r="H430" s="13"/>
      <c r="I430" s="13"/>
      <c r="J430" s="13"/>
      <c r="K430" s="13">
        <v>250</v>
      </c>
      <c r="L430" s="22" t="s">
        <v>21</v>
      </c>
      <c r="M430" s="22" t="s">
        <v>60</v>
      </c>
      <c r="N430" s="13">
        <f>IFERROR(VLOOKUP($A:$A,[1]KION_IND_E_COM_LT!$A:$T,18,0),"")</f>
        <v>0</v>
      </c>
      <c r="O430" s="14">
        <v>1</v>
      </c>
      <c r="P430" s="15">
        <f t="shared" si="6"/>
        <v>250</v>
      </c>
      <c r="Q430" s="16">
        <v>44067</v>
      </c>
      <c r="R430" s="17">
        <v>6</v>
      </c>
      <c r="S430" s="13" t="s">
        <v>0</v>
      </c>
    </row>
    <row r="431" spans="1:19" x14ac:dyDescent="0.25">
      <c r="A431" s="13">
        <v>982074112</v>
      </c>
      <c r="B431" s="27" t="s">
        <v>202</v>
      </c>
      <c r="C431" s="28">
        <v>2</v>
      </c>
      <c r="D431" s="13">
        <v>390336</v>
      </c>
      <c r="E431" s="13"/>
      <c r="F431" s="13">
        <v>200</v>
      </c>
      <c r="G431" s="13">
        <v>200</v>
      </c>
      <c r="H431" s="13"/>
      <c r="I431" s="13"/>
      <c r="J431" s="13"/>
      <c r="K431" s="13">
        <v>200</v>
      </c>
      <c r="L431" s="13"/>
      <c r="M431" s="13" t="s">
        <v>23</v>
      </c>
      <c r="N431" s="13">
        <f>IFERROR(VLOOKUP($A:$A,[1]KION_IND_E_COM_LT!$A:$T,18,0),"")</f>
        <v>0</v>
      </c>
      <c r="O431" s="14">
        <v>1</v>
      </c>
      <c r="P431" s="15">
        <f t="shared" si="6"/>
        <v>200</v>
      </c>
      <c r="Q431" s="16">
        <v>44088</v>
      </c>
      <c r="R431" s="17">
        <v>9</v>
      </c>
      <c r="S431" s="13" t="s">
        <v>0</v>
      </c>
    </row>
    <row r="432" spans="1:19" x14ac:dyDescent="0.25">
      <c r="A432" s="13">
        <v>982074113</v>
      </c>
      <c r="B432" s="27" t="s">
        <v>202</v>
      </c>
      <c r="C432" s="28">
        <v>2</v>
      </c>
      <c r="D432" s="13">
        <v>390336</v>
      </c>
      <c r="E432" s="13"/>
      <c r="F432" s="13">
        <v>180</v>
      </c>
      <c r="G432" s="13">
        <v>180</v>
      </c>
      <c r="H432" s="13"/>
      <c r="I432" s="13"/>
      <c r="J432" s="13"/>
      <c r="K432" s="13">
        <v>180</v>
      </c>
      <c r="L432" s="13"/>
      <c r="M432" s="13" t="s">
        <v>23</v>
      </c>
      <c r="N432" s="13">
        <f>IFERROR(VLOOKUP($A:$A,[1]KION_IND_E_COM_LT!$A:$T,18,0),"")</f>
        <v>0</v>
      </c>
      <c r="O432" s="14">
        <v>1</v>
      </c>
      <c r="P432" s="15">
        <f t="shared" si="6"/>
        <v>180</v>
      </c>
      <c r="Q432" s="16">
        <v>44109</v>
      </c>
      <c r="R432" s="17">
        <v>12</v>
      </c>
      <c r="S432" s="13" t="s">
        <v>0</v>
      </c>
    </row>
    <row r="433" spans="1:19" x14ac:dyDescent="0.25">
      <c r="A433" s="13">
        <v>982074131</v>
      </c>
      <c r="B433" s="27" t="s">
        <v>145</v>
      </c>
      <c r="C433" s="28">
        <v>1</v>
      </c>
      <c r="D433" s="13">
        <v>390336</v>
      </c>
      <c r="E433" s="13"/>
      <c r="F433" s="13">
        <v>260</v>
      </c>
      <c r="G433" s="13">
        <v>260</v>
      </c>
      <c r="H433" s="13"/>
      <c r="I433" s="13"/>
      <c r="J433" s="13"/>
      <c r="K433" s="13">
        <v>260</v>
      </c>
      <c r="L433" s="22" t="s">
        <v>21</v>
      </c>
      <c r="M433" s="22" t="s">
        <v>60</v>
      </c>
      <c r="N433" s="13">
        <f>IFERROR(VLOOKUP($A:$A,[1]KION_IND_E_COM_LT!$A:$T,18,0),"")</f>
        <v>0</v>
      </c>
      <c r="O433" s="14">
        <v>1</v>
      </c>
      <c r="P433" s="15">
        <f t="shared" si="6"/>
        <v>260</v>
      </c>
      <c r="Q433" s="16">
        <v>44067</v>
      </c>
      <c r="R433" s="17">
        <v>6</v>
      </c>
      <c r="S433" s="13" t="s">
        <v>0</v>
      </c>
    </row>
    <row r="434" spans="1:19" x14ac:dyDescent="0.25">
      <c r="A434" s="13">
        <v>982074132</v>
      </c>
      <c r="B434" s="27" t="s">
        <v>145</v>
      </c>
      <c r="C434" s="28">
        <v>1</v>
      </c>
      <c r="D434" s="13">
        <v>390336</v>
      </c>
      <c r="E434" s="13"/>
      <c r="F434" s="13">
        <v>250</v>
      </c>
      <c r="G434" s="13">
        <v>250</v>
      </c>
      <c r="H434" s="13"/>
      <c r="I434" s="13"/>
      <c r="J434" s="13"/>
      <c r="K434" s="13">
        <v>250</v>
      </c>
      <c r="L434" s="22" t="s">
        <v>21</v>
      </c>
      <c r="M434" s="13" t="s">
        <v>60</v>
      </c>
      <c r="N434" s="13">
        <f>IFERROR(VLOOKUP($A:$A,[1]KION_IND_E_COM_LT!$A:$T,18,0),"")</f>
        <v>0</v>
      </c>
      <c r="O434" s="14">
        <v>1</v>
      </c>
      <c r="P434" s="15">
        <f t="shared" si="6"/>
        <v>250</v>
      </c>
      <c r="Q434" s="16">
        <v>44074</v>
      </c>
      <c r="R434" s="17">
        <v>7</v>
      </c>
      <c r="S434" s="13" t="s">
        <v>0</v>
      </c>
    </row>
    <row r="435" spans="1:19" x14ac:dyDescent="0.25">
      <c r="A435" s="13">
        <v>982074133</v>
      </c>
      <c r="B435" s="27" t="s">
        <v>145</v>
      </c>
      <c r="C435" s="28">
        <v>1</v>
      </c>
      <c r="D435" s="13">
        <v>390336</v>
      </c>
      <c r="E435" s="13"/>
      <c r="F435" s="13">
        <v>200</v>
      </c>
      <c r="G435" s="13">
        <v>200</v>
      </c>
      <c r="H435" s="13"/>
      <c r="I435" s="13"/>
      <c r="J435" s="13"/>
      <c r="K435" s="13">
        <v>200</v>
      </c>
      <c r="L435" s="13"/>
      <c r="M435" s="13" t="s">
        <v>23</v>
      </c>
      <c r="N435" s="13">
        <f>IFERROR(VLOOKUP($A:$A,[1]KION_IND_E_COM_LT!$A:$T,18,0),"")</f>
        <v>0</v>
      </c>
      <c r="O435" s="14">
        <v>1</v>
      </c>
      <c r="P435" s="15">
        <f t="shared" si="6"/>
        <v>200</v>
      </c>
      <c r="Q435" s="16">
        <v>44081</v>
      </c>
      <c r="R435" s="17">
        <v>8</v>
      </c>
      <c r="S435" s="13" t="s">
        <v>0</v>
      </c>
    </row>
    <row r="436" spans="1:19" x14ac:dyDescent="0.25">
      <c r="A436" s="13">
        <v>982074134</v>
      </c>
      <c r="B436" s="27" t="s">
        <v>145</v>
      </c>
      <c r="C436" s="28">
        <v>1</v>
      </c>
      <c r="D436" s="13">
        <v>390336</v>
      </c>
      <c r="E436" s="13"/>
      <c r="F436" s="13">
        <v>250</v>
      </c>
      <c r="G436" s="13">
        <v>250</v>
      </c>
      <c r="H436" s="13"/>
      <c r="I436" s="13"/>
      <c r="J436" s="13"/>
      <c r="K436" s="13">
        <v>250</v>
      </c>
      <c r="L436" s="13"/>
      <c r="M436" s="13" t="s">
        <v>23</v>
      </c>
      <c r="N436" s="13">
        <f>IFERROR(VLOOKUP($A:$A,[1]KION_IND_E_COM_LT!$A:$T,18,0),"")</f>
        <v>0</v>
      </c>
      <c r="O436" s="14">
        <v>1</v>
      </c>
      <c r="P436" s="15">
        <f t="shared" si="6"/>
        <v>250</v>
      </c>
      <c r="Q436" s="16">
        <v>44088</v>
      </c>
      <c r="R436" s="17">
        <v>9</v>
      </c>
      <c r="S436" s="13" t="s">
        <v>0</v>
      </c>
    </row>
    <row r="437" spans="1:19" x14ac:dyDescent="0.25">
      <c r="A437" s="13">
        <v>982074135</v>
      </c>
      <c r="B437" s="27" t="s">
        <v>145</v>
      </c>
      <c r="C437" s="28">
        <v>1</v>
      </c>
      <c r="D437" s="13">
        <v>390336</v>
      </c>
      <c r="E437" s="13"/>
      <c r="F437" s="13">
        <v>200</v>
      </c>
      <c r="G437" s="13">
        <v>200</v>
      </c>
      <c r="H437" s="13"/>
      <c r="I437" s="13"/>
      <c r="J437" s="13"/>
      <c r="K437" s="13">
        <v>200</v>
      </c>
      <c r="L437" s="13"/>
      <c r="M437" s="13" t="s">
        <v>23</v>
      </c>
      <c r="N437" s="13">
        <f>IFERROR(VLOOKUP($A:$A,[1]KION_IND_E_COM_LT!$A:$T,18,0),"")</f>
        <v>0</v>
      </c>
      <c r="O437" s="14">
        <v>1</v>
      </c>
      <c r="P437" s="15">
        <f t="shared" si="6"/>
        <v>200</v>
      </c>
      <c r="Q437" s="16">
        <v>44109</v>
      </c>
      <c r="R437" s="17">
        <v>12</v>
      </c>
      <c r="S437" s="13" t="s">
        <v>0</v>
      </c>
    </row>
    <row r="438" spans="1:19" x14ac:dyDescent="0.25">
      <c r="A438" s="13">
        <v>982074136</v>
      </c>
      <c r="B438" s="27" t="s">
        <v>145</v>
      </c>
      <c r="C438" s="28">
        <v>1</v>
      </c>
      <c r="D438" s="13">
        <v>390336</v>
      </c>
      <c r="E438" s="13"/>
      <c r="F438" s="13">
        <v>180</v>
      </c>
      <c r="G438" s="13">
        <v>180</v>
      </c>
      <c r="H438" s="13"/>
      <c r="I438" s="13"/>
      <c r="J438" s="13"/>
      <c r="K438" s="13">
        <v>180</v>
      </c>
      <c r="L438" s="13"/>
      <c r="M438" s="13" t="s">
        <v>23</v>
      </c>
      <c r="N438" s="13">
        <f>IFERROR(VLOOKUP($A:$A,[1]KION_IND_E_COM_LT!$A:$T,18,0),"")</f>
        <v>0</v>
      </c>
      <c r="O438" s="14">
        <v>1</v>
      </c>
      <c r="P438" s="15">
        <f t="shared" si="6"/>
        <v>180</v>
      </c>
      <c r="Q438" s="16">
        <v>44116</v>
      </c>
      <c r="R438" s="17">
        <v>13</v>
      </c>
      <c r="S438" s="13" t="s">
        <v>0</v>
      </c>
    </row>
    <row r="439" spans="1:19" x14ac:dyDescent="0.25">
      <c r="A439" s="13">
        <v>982074251</v>
      </c>
      <c r="B439" s="27" t="s">
        <v>278</v>
      </c>
      <c r="C439" s="28">
        <v>0</v>
      </c>
      <c r="D439" s="13">
        <v>390336</v>
      </c>
      <c r="E439" s="13"/>
      <c r="F439" s="13">
        <v>250</v>
      </c>
      <c r="G439" s="13">
        <v>250</v>
      </c>
      <c r="H439" s="13"/>
      <c r="I439" s="13"/>
      <c r="J439" s="13"/>
      <c r="K439" s="13">
        <v>250</v>
      </c>
      <c r="L439" s="22" t="s">
        <v>21</v>
      </c>
      <c r="M439" s="22"/>
      <c r="N439" s="13">
        <f>IFERROR(VLOOKUP($A:$A,[1]KION_IND_E_COM_LT!$A:$T,18,0),"")</f>
        <v>0</v>
      </c>
      <c r="O439" s="14">
        <v>1</v>
      </c>
      <c r="P439" s="15">
        <f t="shared" si="6"/>
        <v>250</v>
      </c>
      <c r="Q439" s="16">
        <v>44067</v>
      </c>
      <c r="R439" s="17">
        <v>6</v>
      </c>
      <c r="S439" s="13" t="s">
        <v>0</v>
      </c>
    </row>
    <row r="440" spans="1:19" x14ac:dyDescent="0.25">
      <c r="A440" s="13">
        <v>982074252</v>
      </c>
      <c r="B440" s="27" t="s">
        <v>278</v>
      </c>
      <c r="C440" s="28">
        <v>0</v>
      </c>
      <c r="D440" s="13">
        <v>390336</v>
      </c>
      <c r="E440" s="13"/>
      <c r="F440" s="13">
        <v>200</v>
      </c>
      <c r="G440" s="13">
        <v>200</v>
      </c>
      <c r="H440" s="13"/>
      <c r="I440" s="13"/>
      <c r="J440" s="13"/>
      <c r="K440" s="13">
        <v>200</v>
      </c>
      <c r="L440" s="22" t="s">
        <v>21</v>
      </c>
      <c r="M440" s="22"/>
      <c r="N440" s="13">
        <f>IFERROR(VLOOKUP($A:$A,[1]KION_IND_E_COM_LT!$A:$T,18,0),"")</f>
        <v>0</v>
      </c>
      <c r="O440" s="14">
        <v>1</v>
      </c>
      <c r="P440" s="15">
        <f t="shared" si="6"/>
        <v>200</v>
      </c>
      <c r="Q440" s="16">
        <v>44074</v>
      </c>
      <c r="R440" s="17">
        <v>7</v>
      </c>
      <c r="S440" s="13" t="s">
        <v>0</v>
      </c>
    </row>
    <row r="441" spans="1:19" x14ac:dyDescent="0.25">
      <c r="A441" s="13">
        <v>982074253</v>
      </c>
      <c r="B441" s="27" t="s">
        <v>278</v>
      </c>
      <c r="C441" s="28">
        <v>0</v>
      </c>
      <c r="D441" s="13">
        <v>390336</v>
      </c>
      <c r="E441" s="13"/>
      <c r="F441" s="13">
        <v>200</v>
      </c>
      <c r="G441" s="13">
        <v>200</v>
      </c>
      <c r="H441" s="13"/>
      <c r="I441" s="13"/>
      <c r="J441" s="13"/>
      <c r="K441" s="13">
        <v>200</v>
      </c>
      <c r="L441" s="13"/>
      <c r="M441" s="13" t="s">
        <v>23</v>
      </c>
      <c r="N441" s="13">
        <f>IFERROR(VLOOKUP($A:$A,[1]KION_IND_E_COM_LT!$A:$T,18,0),"")</f>
        <v>0</v>
      </c>
      <c r="O441" s="14">
        <v>1</v>
      </c>
      <c r="P441" s="15">
        <f t="shared" si="6"/>
        <v>200</v>
      </c>
      <c r="Q441" s="16">
        <v>44088</v>
      </c>
      <c r="R441" s="17">
        <v>9</v>
      </c>
      <c r="S441" s="13" t="s">
        <v>0</v>
      </c>
    </row>
    <row r="442" spans="1:19" x14ac:dyDescent="0.25">
      <c r="A442" s="13">
        <v>982074271</v>
      </c>
      <c r="B442" s="27" t="s">
        <v>119</v>
      </c>
      <c r="C442" s="28">
        <v>0</v>
      </c>
      <c r="D442" s="13">
        <v>390336</v>
      </c>
      <c r="E442" s="13"/>
      <c r="F442" s="13">
        <v>150</v>
      </c>
      <c r="G442" s="13">
        <v>100</v>
      </c>
      <c r="H442" s="13"/>
      <c r="I442" s="13">
        <v>100</v>
      </c>
      <c r="J442" s="13"/>
      <c r="K442" s="13">
        <v>0</v>
      </c>
      <c r="L442" s="22" t="s">
        <v>21</v>
      </c>
      <c r="M442" s="13" t="s">
        <v>32</v>
      </c>
      <c r="N442" s="13">
        <f>IFERROR(VLOOKUP($A:$A,[1]KION_IND_E_COM_LT!$A:$T,18,0),"")</f>
        <v>0</v>
      </c>
      <c r="O442" s="14"/>
      <c r="P442" s="15">
        <f t="shared" si="6"/>
        <v>0</v>
      </c>
      <c r="Q442" s="16"/>
      <c r="R442" s="17">
        <v>8</v>
      </c>
      <c r="S442" s="13" t="s">
        <v>0</v>
      </c>
    </row>
    <row r="443" spans="1:19" x14ac:dyDescent="0.25">
      <c r="A443" s="13">
        <v>982074272</v>
      </c>
      <c r="B443" s="27" t="s">
        <v>119</v>
      </c>
      <c r="C443" s="28">
        <v>0</v>
      </c>
      <c r="D443" s="13">
        <v>390336</v>
      </c>
      <c r="E443" s="13"/>
      <c r="F443" s="13">
        <v>100</v>
      </c>
      <c r="G443" s="13">
        <v>100</v>
      </c>
      <c r="H443" s="13"/>
      <c r="I443" s="13"/>
      <c r="J443" s="13"/>
      <c r="K443" s="13">
        <v>100</v>
      </c>
      <c r="L443" s="22" t="s">
        <v>21</v>
      </c>
      <c r="M443" s="13" t="s">
        <v>320</v>
      </c>
      <c r="N443" s="13">
        <f>IFERROR(VLOOKUP($A:$A,[1]KION_IND_E_COM_LT!$A:$T,18,0),"")</f>
        <v>0</v>
      </c>
      <c r="O443" s="14">
        <v>1</v>
      </c>
      <c r="P443" s="15">
        <f t="shared" si="6"/>
        <v>100</v>
      </c>
      <c r="Q443" s="16">
        <v>44081</v>
      </c>
      <c r="R443" s="17">
        <v>8</v>
      </c>
      <c r="S443" s="13" t="s">
        <v>0</v>
      </c>
    </row>
    <row r="444" spans="1:19" x14ac:dyDescent="0.25">
      <c r="A444" s="13">
        <v>982074281</v>
      </c>
      <c r="B444" s="27" t="s">
        <v>257</v>
      </c>
      <c r="C444" s="28">
        <v>0</v>
      </c>
      <c r="D444" s="13">
        <v>390336</v>
      </c>
      <c r="E444" s="13"/>
      <c r="F444" s="13">
        <v>150</v>
      </c>
      <c r="G444" s="13">
        <v>150</v>
      </c>
      <c r="H444" s="13"/>
      <c r="I444" s="13"/>
      <c r="J444" s="13"/>
      <c r="K444" s="13">
        <v>150</v>
      </c>
      <c r="L444" s="22" t="s">
        <v>21</v>
      </c>
      <c r="M444" s="13" t="s">
        <v>320</v>
      </c>
      <c r="N444" s="22" t="s">
        <v>63</v>
      </c>
      <c r="O444" s="14">
        <v>1</v>
      </c>
      <c r="P444" s="15">
        <f t="shared" si="6"/>
        <v>150</v>
      </c>
      <c r="Q444" s="16" t="s">
        <v>4</v>
      </c>
      <c r="R444" s="17">
        <v>3</v>
      </c>
      <c r="S444" s="13" t="s">
        <v>0</v>
      </c>
    </row>
    <row r="445" spans="1:19" x14ac:dyDescent="0.25">
      <c r="A445" s="13">
        <v>982074282</v>
      </c>
      <c r="B445" s="27" t="s">
        <v>257</v>
      </c>
      <c r="C445" s="28">
        <v>0</v>
      </c>
      <c r="D445" s="13">
        <v>390336</v>
      </c>
      <c r="E445" s="13"/>
      <c r="F445" s="13">
        <v>100</v>
      </c>
      <c r="G445" s="13">
        <v>100</v>
      </c>
      <c r="H445" s="13"/>
      <c r="I445" s="13"/>
      <c r="J445" s="13"/>
      <c r="K445" s="13">
        <v>100</v>
      </c>
      <c r="L445" s="22" t="s">
        <v>21</v>
      </c>
      <c r="M445" s="13" t="s">
        <v>320</v>
      </c>
      <c r="N445" s="13">
        <f>IFERROR(VLOOKUP($A:$A,[1]KION_IND_E_COM_LT!$A:$T,18,0),"")</f>
        <v>0</v>
      </c>
      <c r="O445" s="14">
        <v>1</v>
      </c>
      <c r="P445" s="15">
        <f t="shared" si="6"/>
        <v>100</v>
      </c>
      <c r="Q445" s="16">
        <v>44081</v>
      </c>
      <c r="R445" s="17">
        <v>8</v>
      </c>
      <c r="S445" s="13" t="s">
        <v>0</v>
      </c>
    </row>
    <row r="446" spans="1:19" x14ac:dyDescent="0.25">
      <c r="A446" s="13">
        <v>982074301</v>
      </c>
      <c r="B446" s="27" t="s">
        <v>221</v>
      </c>
      <c r="C446" s="28">
        <v>1</v>
      </c>
      <c r="D446" s="13">
        <v>390336</v>
      </c>
      <c r="E446" s="13"/>
      <c r="F446" s="13">
        <v>10</v>
      </c>
      <c r="G446" s="13">
        <v>10</v>
      </c>
      <c r="H446" s="13"/>
      <c r="I446" s="13"/>
      <c r="J446" s="13"/>
      <c r="K446" s="13">
        <v>10</v>
      </c>
      <c r="L446" s="13"/>
      <c r="M446" s="13" t="s">
        <v>23</v>
      </c>
      <c r="N446" s="13">
        <f>IFERROR(VLOOKUP($A:$A,[1]KION_IND_E_COM_LT!$A:$T,18,0),"")</f>
        <v>0</v>
      </c>
      <c r="O446" s="14">
        <v>1</v>
      </c>
      <c r="P446" s="15">
        <f t="shared" si="6"/>
        <v>10</v>
      </c>
      <c r="Q446" s="16" t="s">
        <v>3</v>
      </c>
      <c r="R446" s="17" t="s">
        <v>3</v>
      </c>
      <c r="S446" s="13" t="s">
        <v>0</v>
      </c>
    </row>
    <row r="447" spans="1:19" x14ac:dyDescent="0.25">
      <c r="A447" s="13">
        <v>982074321</v>
      </c>
      <c r="B447" s="27" t="s">
        <v>269</v>
      </c>
      <c r="C447" s="28">
        <v>1</v>
      </c>
      <c r="D447" s="13">
        <v>390336</v>
      </c>
      <c r="E447" s="13"/>
      <c r="F447" s="13">
        <v>250</v>
      </c>
      <c r="G447" s="13">
        <v>250</v>
      </c>
      <c r="H447" s="13"/>
      <c r="I447" s="13"/>
      <c r="J447" s="13"/>
      <c r="K447" s="13">
        <v>250</v>
      </c>
      <c r="L447" s="22" t="s">
        <v>21</v>
      </c>
      <c r="M447" s="13" t="s">
        <v>320</v>
      </c>
      <c r="N447" s="13">
        <f>IFERROR(VLOOKUP($A:$A,[1]KION_IND_E_COM_LT!$A:$T,18,0),"")</f>
        <v>0</v>
      </c>
      <c r="O447" s="14">
        <v>1</v>
      </c>
      <c r="P447" s="15">
        <f t="shared" si="6"/>
        <v>250</v>
      </c>
      <c r="Q447" s="16">
        <v>44067</v>
      </c>
      <c r="R447" s="17">
        <v>6</v>
      </c>
      <c r="S447" s="13" t="s">
        <v>0</v>
      </c>
    </row>
    <row r="448" spans="1:19" x14ac:dyDescent="0.25">
      <c r="A448" s="13">
        <v>982074322</v>
      </c>
      <c r="B448" s="27" t="s">
        <v>269</v>
      </c>
      <c r="C448" s="28">
        <v>1</v>
      </c>
      <c r="D448" s="13">
        <v>390336</v>
      </c>
      <c r="E448" s="13"/>
      <c r="F448" s="13">
        <v>200</v>
      </c>
      <c r="G448" s="13">
        <v>200</v>
      </c>
      <c r="H448" s="13"/>
      <c r="I448" s="13"/>
      <c r="J448" s="13"/>
      <c r="K448" s="13">
        <v>200</v>
      </c>
      <c r="L448" s="13"/>
      <c r="M448" s="13" t="s">
        <v>23</v>
      </c>
      <c r="N448" s="13">
        <f>IFERROR(VLOOKUP($A:$A,[1]KION_IND_E_COM_LT!$A:$T,18,0),"")</f>
        <v>0</v>
      </c>
      <c r="O448" s="14">
        <v>1</v>
      </c>
      <c r="P448" s="15">
        <f t="shared" si="6"/>
        <v>200</v>
      </c>
      <c r="Q448" s="16">
        <v>44088</v>
      </c>
      <c r="R448" s="17">
        <v>9</v>
      </c>
      <c r="S448" s="13" t="s">
        <v>0</v>
      </c>
    </row>
    <row r="449" spans="1:19" x14ac:dyDescent="0.25">
      <c r="A449" s="13">
        <v>982074323</v>
      </c>
      <c r="B449" s="27" t="s">
        <v>269</v>
      </c>
      <c r="C449" s="28">
        <v>1</v>
      </c>
      <c r="D449" s="13">
        <v>390336</v>
      </c>
      <c r="E449" s="13"/>
      <c r="F449" s="13">
        <v>200</v>
      </c>
      <c r="G449" s="13">
        <v>200</v>
      </c>
      <c r="H449" s="13"/>
      <c r="I449" s="13"/>
      <c r="J449" s="13"/>
      <c r="K449" s="13">
        <v>200</v>
      </c>
      <c r="L449" s="13"/>
      <c r="M449" s="13" t="s">
        <v>23</v>
      </c>
      <c r="N449" s="13">
        <f>IFERROR(VLOOKUP($A:$A,[1]KION_IND_E_COM_LT!$A:$T,18,0),"")</f>
        <v>0</v>
      </c>
      <c r="O449" s="14">
        <v>1</v>
      </c>
      <c r="P449" s="15">
        <f t="shared" si="6"/>
        <v>200</v>
      </c>
      <c r="Q449" s="16">
        <v>44109</v>
      </c>
      <c r="R449" s="17">
        <v>12</v>
      </c>
      <c r="S449" s="13" t="s">
        <v>0</v>
      </c>
    </row>
    <row r="450" spans="1:19" x14ac:dyDescent="0.25">
      <c r="A450" s="13">
        <v>982074341</v>
      </c>
      <c r="B450" s="27" t="s">
        <v>156</v>
      </c>
      <c r="C450" s="28">
        <v>0</v>
      </c>
      <c r="D450" s="13">
        <v>390336</v>
      </c>
      <c r="E450" s="13"/>
      <c r="F450" s="13">
        <v>260</v>
      </c>
      <c r="G450" s="13">
        <v>260</v>
      </c>
      <c r="H450" s="13"/>
      <c r="I450" s="13">
        <v>260</v>
      </c>
      <c r="J450" s="13"/>
      <c r="K450" s="13">
        <v>0</v>
      </c>
      <c r="L450" s="22" t="s">
        <v>21</v>
      </c>
      <c r="M450" s="13" t="s">
        <v>32</v>
      </c>
      <c r="N450" s="13" t="str">
        <f>IFERROR(VLOOKUP($A:$A,[1]KION_IND_E_COM_LT!$A:$T,18,0),"")</f>
        <v>07/08 - A</v>
      </c>
      <c r="O450" s="14"/>
      <c r="P450" s="15">
        <f t="shared" si="6"/>
        <v>0</v>
      </c>
      <c r="Q450" s="16"/>
      <c r="R450" s="17">
        <v>7</v>
      </c>
      <c r="S450" s="13" t="s">
        <v>0</v>
      </c>
    </row>
    <row r="451" spans="1:19" x14ac:dyDescent="0.25">
      <c r="A451" s="13">
        <v>982074342</v>
      </c>
      <c r="B451" s="27" t="s">
        <v>156</v>
      </c>
      <c r="C451" s="28">
        <v>0</v>
      </c>
      <c r="D451" s="13">
        <v>390336</v>
      </c>
      <c r="E451" s="13"/>
      <c r="F451" s="13">
        <v>200</v>
      </c>
      <c r="G451" s="13">
        <v>200</v>
      </c>
      <c r="H451" s="13"/>
      <c r="I451" s="13"/>
      <c r="J451" s="13"/>
      <c r="K451" s="13">
        <v>200</v>
      </c>
      <c r="L451" s="22" t="s">
        <v>21</v>
      </c>
      <c r="M451" s="13" t="s">
        <v>60</v>
      </c>
      <c r="N451" s="13">
        <f>IFERROR(VLOOKUP($A:$A,[1]KION_IND_E_COM_LT!$A:$T,18,0),"")</f>
        <v>0</v>
      </c>
      <c r="O451" s="14">
        <v>1</v>
      </c>
      <c r="P451" s="15">
        <f t="shared" ref="P451:P514" si="7">K451*O451</f>
        <v>200</v>
      </c>
      <c r="Q451" s="16">
        <v>44074</v>
      </c>
      <c r="R451" s="17">
        <v>7</v>
      </c>
      <c r="S451" s="13" t="s">
        <v>0</v>
      </c>
    </row>
    <row r="452" spans="1:19" x14ac:dyDescent="0.25">
      <c r="A452" s="13">
        <v>982074343</v>
      </c>
      <c r="B452" s="27" t="s">
        <v>156</v>
      </c>
      <c r="C452" s="28">
        <v>0</v>
      </c>
      <c r="D452" s="13">
        <v>390336</v>
      </c>
      <c r="E452" s="13"/>
      <c r="F452" s="13">
        <v>200</v>
      </c>
      <c r="G452" s="13">
        <v>200</v>
      </c>
      <c r="H452" s="13"/>
      <c r="I452" s="13"/>
      <c r="J452" s="13"/>
      <c r="K452" s="13">
        <v>200</v>
      </c>
      <c r="L452" s="13"/>
      <c r="M452" s="13" t="s">
        <v>23</v>
      </c>
      <c r="N452" s="13">
        <f>IFERROR(VLOOKUP($A:$A,[1]KION_IND_E_COM_LT!$A:$T,18,0),"")</f>
        <v>0</v>
      </c>
      <c r="O452" s="14">
        <v>1</v>
      </c>
      <c r="P452" s="15">
        <f t="shared" si="7"/>
        <v>200</v>
      </c>
      <c r="Q452" s="16">
        <v>44088</v>
      </c>
      <c r="R452" s="17">
        <v>9</v>
      </c>
      <c r="S452" s="13" t="s">
        <v>0</v>
      </c>
    </row>
    <row r="453" spans="1:19" x14ac:dyDescent="0.25">
      <c r="A453" s="13">
        <v>982074351</v>
      </c>
      <c r="B453" s="27" t="s">
        <v>157</v>
      </c>
      <c r="C453" s="28">
        <v>0</v>
      </c>
      <c r="D453" s="13">
        <v>390336</v>
      </c>
      <c r="E453" s="13"/>
      <c r="F453" s="13">
        <v>260</v>
      </c>
      <c r="G453" s="13">
        <v>260</v>
      </c>
      <c r="H453" s="13"/>
      <c r="I453" s="13">
        <v>260</v>
      </c>
      <c r="J453" s="13"/>
      <c r="K453" s="13">
        <v>0</v>
      </c>
      <c r="L453" s="22" t="s">
        <v>21</v>
      </c>
      <c r="M453" s="13" t="s">
        <v>32</v>
      </c>
      <c r="N453" s="13">
        <f>IFERROR(VLOOKUP($A:$A,[1]KION_IND_E_COM_LT!$A:$T,18,0),"")</f>
        <v>0</v>
      </c>
      <c r="O453" s="14"/>
      <c r="P453" s="15">
        <f t="shared" si="7"/>
        <v>0</v>
      </c>
      <c r="Q453" s="16"/>
      <c r="R453" s="17">
        <v>7</v>
      </c>
      <c r="S453" s="13" t="s">
        <v>0</v>
      </c>
    </row>
    <row r="454" spans="1:19" x14ac:dyDescent="0.25">
      <c r="A454" s="13">
        <v>982074352</v>
      </c>
      <c r="B454" s="27" t="s">
        <v>157</v>
      </c>
      <c r="C454" s="28">
        <v>0</v>
      </c>
      <c r="D454" s="13">
        <v>390336</v>
      </c>
      <c r="E454" s="13"/>
      <c r="F454" s="13">
        <v>200</v>
      </c>
      <c r="G454" s="13">
        <v>200</v>
      </c>
      <c r="H454" s="13"/>
      <c r="I454" s="13"/>
      <c r="J454" s="13"/>
      <c r="K454" s="13">
        <v>200</v>
      </c>
      <c r="L454" s="22" t="s">
        <v>21</v>
      </c>
      <c r="M454" s="13" t="s">
        <v>320</v>
      </c>
      <c r="N454" s="22"/>
      <c r="O454" s="14">
        <v>1</v>
      </c>
      <c r="P454" s="15">
        <f t="shared" si="7"/>
        <v>200</v>
      </c>
      <c r="Q454" s="16">
        <v>44074</v>
      </c>
      <c r="R454" s="17">
        <v>7</v>
      </c>
      <c r="S454" s="13" t="s">
        <v>0</v>
      </c>
    </row>
    <row r="455" spans="1:19" x14ac:dyDescent="0.25">
      <c r="A455" s="13">
        <v>982074353</v>
      </c>
      <c r="B455" s="27" t="s">
        <v>157</v>
      </c>
      <c r="C455" s="28">
        <v>0</v>
      </c>
      <c r="D455" s="13">
        <v>390336</v>
      </c>
      <c r="E455" s="13"/>
      <c r="F455" s="13">
        <v>200</v>
      </c>
      <c r="G455" s="13">
        <v>200</v>
      </c>
      <c r="H455" s="13"/>
      <c r="I455" s="13"/>
      <c r="J455" s="13"/>
      <c r="K455" s="13">
        <v>200</v>
      </c>
      <c r="L455" s="13"/>
      <c r="M455" s="13" t="s">
        <v>23</v>
      </c>
      <c r="N455" s="13">
        <f>IFERROR(VLOOKUP($A:$A,[1]KION_IND_E_COM_LT!$A:$T,18,0),"")</f>
        <v>0</v>
      </c>
      <c r="O455" s="14">
        <v>1</v>
      </c>
      <c r="P455" s="15">
        <f t="shared" si="7"/>
        <v>200</v>
      </c>
      <c r="Q455" s="16">
        <v>44088</v>
      </c>
      <c r="R455" s="17">
        <v>9</v>
      </c>
      <c r="S455" s="13" t="s">
        <v>0</v>
      </c>
    </row>
    <row r="456" spans="1:19" x14ac:dyDescent="0.25">
      <c r="A456" s="13">
        <v>982074361</v>
      </c>
      <c r="B456" s="27" t="s">
        <v>224</v>
      </c>
      <c r="C456" s="28">
        <v>1</v>
      </c>
      <c r="D456" s="13">
        <v>390336</v>
      </c>
      <c r="E456" s="13"/>
      <c r="F456" s="13">
        <v>200</v>
      </c>
      <c r="G456" s="13">
        <v>200</v>
      </c>
      <c r="H456" s="13"/>
      <c r="I456" s="13"/>
      <c r="J456" s="13"/>
      <c r="K456" s="13">
        <v>200</v>
      </c>
      <c r="L456" s="22" t="s">
        <v>21</v>
      </c>
      <c r="M456" s="13" t="s">
        <v>60</v>
      </c>
      <c r="N456" s="13">
        <f>IFERROR(VLOOKUP($A:$A,[1]KION_IND_E_COM_LT!$A:$T,18,0),"")</f>
        <v>0</v>
      </c>
      <c r="O456" s="14">
        <v>1</v>
      </c>
      <c r="P456" s="15">
        <f t="shared" si="7"/>
        <v>200</v>
      </c>
      <c r="Q456" s="16">
        <v>44067</v>
      </c>
      <c r="R456" s="17">
        <v>6</v>
      </c>
      <c r="S456" s="13" t="s">
        <v>0</v>
      </c>
    </row>
    <row r="457" spans="1:19" x14ac:dyDescent="0.25">
      <c r="A457" s="13">
        <v>982074362</v>
      </c>
      <c r="B457" s="27" t="s">
        <v>224</v>
      </c>
      <c r="C457" s="28">
        <v>1</v>
      </c>
      <c r="D457" s="13">
        <v>390336</v>
      </c>
      <c r="E457" s="13"/>
      <c r="F457" s="13">
        <v>200</v>
      </c>
      <c r="G457" s="13">
        <v>200</v>
      </c>
      <c r="H457" s="13"/>
      <c r="I457" s="13"/>
      <c r="J457" s="13"/>
      <c r="K457" s="13">
        <v>200</v>
      </c>
      <c r="L457" s="22" t="s">
        <v>21</v>
      </c>
      <c r="M457" s="13" t="s">
        <v>60</v>
      </c>
      <c r="N457" s="13">
        <f>IFERROR(VLOOKUP($A:$A,[1]KION_IND_E_COM_LT!$A:$T,18,0),"")</f>
        <v>0</v>
      </c>
      <c r="O457" s="14">
        <v>1</v>
      </c>
      <c r="P457" s="15">
        <f t="shared" si="7"/>
        <v>200</v>
      </c>
      <c r="Q457" s="16">
        <v>44074</v>
      </c>
      <c r="R457" s="17">
        <v>7</v>
      </c>
      <c r="S457" s="13" t="s">
        <v>0</v>
      </c>
    </row>
    <row r="458" spans="1:19" x14ac:dyDescent="0.25">
      <c r="A458" s="13">
        <v>982074363</v>
      </c>
      <c r="B458" s="27" t="s">
        <v>224</v>
      </c>
      <c r="C458" s="28">
        <v>1</v>
      </c>
      <c r="D458" s="13">
        <v>390336</v>
      </c>
      <c r="E458" s="13"/>
      <c r="F458" s="13">
        <v>200</v>
      </c>
      <c r="G458" s="13">
        <v>200</v>
      </c>
      <c r="H458" s="13"/>
      <c r="I458" s="13"/>
      <c r="J458" s="13"/>
      <c r="K458" s="13">
        <v>200</v>
      </c>
      <c r="L458" s="13"/>
      <c r="M458" s="13" t="s">
        <v>23</v>
      </c>
      <c r="N458" s="13">
        <f>IFERROR(VLOOKUP($A:$A,[1]KION_IND_E_COM_LT!$A:$T,18,0),"")</f>
        <v>0</v>
      </c>
      <c r="O458" s="14">
        <v>1</v>
      </c>
      <c r="P458" s="15">
        <f t="shared" si="7"/>
        <v>200</v>
      </c>
      <c r="Q458" s="16">
        <v>44088</v>
      </c>
      <c r="R458" s="17">
        <v>9</v>
      </c>
      <c r="S458" s="13" t="s">
        <v>0</v>
      </c>
    </row>
    <row r="459" spans="1:19" x14ac:dyDescent="0.25">
      <c r="A459" s="13">
        <v>982074431</v>
      </c>
      <c r="B459" s="27" t="s">
        <v>232</v>
      </c>
      <c r="C459" s="28">
        <v>0</v>
      </c>
      <c r="D459" s="13">
        <v>390336</v>
      </c>
      <c r="E459" s="13"/>
      <c r="F459" s="13">
        <v>250</v>
      </c>
      <c r="G459" s="13">
        <v>250</v>
      </c>
      <c r="H459" s="13"/>
      <c r="I459" s="13">
        <v>250</v>
      </c>
      <c r="J459" s="13"/>
      <c r="K459" s="13">
        <v>0</v>
      </c>
      <c r="L459" s="22" t="s">
        <v>21</v>
      </c>
      <c r="M459" s="13" t="s">
        <v>32</v>
      </c>
      <c r="N459" s="13">
        <f>IFERROR(VLOOKUP($A:$A,[1]KION_IND_E_COM_LT!$A:$T,18,0),"")</f>
        <v>0</v>
      </c>
      <c r="O459" s="14"/>
      <c r="P459" s="15">
        <f t="shared" si="7"/>
        <v>0</v>
      </c>
      <c r="Q459" s="16"/>
      <c r="R459" s="17">
        <v>7</v>
      </c>
      <c r="S459" s="13" t="s">
        <v>0</v>
      </c>
    </row>
    <row r="460" spans="1:19" x14ac:dyDescent="0.25">
      <c r="A460" s="13">
        <v>982074432</v>
      </c>
      <c r="B460" s="27" t="s">
        <v>232</v>
      </c>
      <c r="C460" s="28">
        <v>0</v>
      </c>
      <c r="D460" s="13">
        <v>390336</v>
      </c>
      <c r="E460" s="13"/>
      <c r="F460" s="13">
        <v>200</v>
      </c>
      <c r="G460" s="13">
        <v>200</v>
      </c>
      <c r="H460" s="13"/>
      <c r="I460" s="13"/>
      <c r="J460" s="13"/>
      <c r="K460" s="13">
        <v>200</v>
      </c>
      <c r="L460" s="22" t="s">
        <v>21</v>
      </c>
      <c r="M460" s="13" t="s">
        <v>320</v>
      </c>
      <c r="N460" s="13">
        <f>IFERROR(VLOOKUP($A:$A,[1]KION_IND_E_COM_LT!$A:$T,18,0),"")</f>
        <v>0</v>
      </c>
      <c r="O460" s="14">
        <v>1</v>
      </c>
      <c r="P460" s="15">
        <f t="shared" si="7"/>
        <v>200</v>
      </c>
      <c r="Q460" s="16">
        <v>44074</v>
      </c>
      <c r="R460" s="17">
        <v>7</v>
      </c>
      <c r="S460" s="13" t="s">
        <v>0</v>
      </c>
    </row>
    <row r="461" spans="1:19" x14ac:dyDescent="0.25">
      <c r="A461" s="13">
        <v>982074433</v>
      </c>
      <c r="B461" s="27" t="s">
        <v>232</v>
      </c>
      <c r="C461" s="28">
        <v>0</v>
      </c>
      <c r="D461" s="13">
        <v>390336</v>
      </c>
      <c r="E461" s="13"/>
      <c r="F461" s="13">
        <v>210</v>
      </c>
      <c r="G461" s="13">
        <v>210</v>
      </c>
      <c r="H461" s="13"/>
      <c r="I461" s="13"/>
      <c r="J461" s="13"/>
      <c r="K461" s="13">
        <v>210</v>
      </c>
      <c r="L461" s="13"/>
      <c r="M461" s="13" t="s">
        <v>23</v>
      </c>
      <c r="N461" s="13">
        <f>IFERROR(VLOOKUP($A:$A,[1]KION_IND_E_COM_LT!$A:$T,18,0),"")</f>
        <v>0</v>
      </c>
      <c r="O461" s="14">
        <v>1</v>
      </c>
      <c r="P461" s="15">
        <f t="shared" si="7"/>
        <v>210</v>
      </c>
      <c r="Q461" s="16">
        <v>44088</v>
      </c>
      <c r="R461" s="17">
        <v>9</v>
      </c>
      <c r="S461" s="13" t="s">
        <v>0</v>
      </c>
    </row>
    <row r="462" spans="1:19" x14ac:dyDescent="0.25">
      <c r="A462" s="13">
        <v>982074441</v>
      </c>
      <c r="B462" s="27" t="s">
        <v>233</v>
      </c>
      <c r="C462" s="28">
        <v>1</v>
      </c>
      <c r="D462" s="13">
        <v>390336</v>
      </c>
      <c r="E462" s="13"/>
      <c r="F462" s="13">
        <v>260</v>
      </c>
      <c r="G462" s="13">
        <v>260</v>
      </c>
      <c r="H462" s="13"/>
      <c r="I462" s="13">
        <v>260</v>
      </c>
      <c r="J462" s="13"/>
      <c r="K462" s="13">
        <v>0</v>
      </c>
      <c r="L462" s="22" t="s">
        <v>21</v>
      </c>
      <c r="M462" s="13" t="s">
        <v>32</v>
      </c>
      <c r="N462" s="13">
        <f>IFERROR(VLOOKUP($A:$A,[1]KION_IND_E_COM_LT!$A:$T,18,0),"")</f>
        <v>0</v>
      </c>
      <c r="O462" s="14"/>
      <c r="P462" s="15">
        <f t="shared" si="7"/>
        <v>0</v>
      </c>
      <c r="Q462" s="16"/>
      <c r="R462" s="17">
        <v>7</v>
      </c>
      <c r="S462" s="13" t="s">
        <v>0</v>
      </c>
    </row>
    <row r="463" spans="1:19" x14ac:dyDescent="0.25">
      <c r="A463" s="13">
        <v>982074442</v>
      </c>
      <c r="B463" s="27" t="s">
        <v>233</v>
      </c>
      <c r="C463" s="28">
        <v>1</v>
      </c>
      <c r="D463" s="13">
        <v>390336</v>
      </c>
      <c r="E463" s="13"/>
      <c r="F463" s="13">
        <v>200</v>
      </c>
      <c r="G463" s="13">
        <v>200</v>
      </c>
      <c r="H463" s="13"/>
      <c r="I463" s="13"/>
      <c r="J463" s="13"/>
      <c r="K463" s="13">
        <v>200</v>
      </c>
      <c r="L463" s="22" t="s">
        <v>21</v>
      </c>
      <c r="M463" s="13" t="s">
        <v>59</v>
      </c>
      <c r="N463" s="13">
        <f>IFERROR(VLOOKUP($A:$A,[1]KION_IND_E_COM_LT!$A:$T,18,0),"")</f>
        <v>0</v>
      </c>
      <c r="O463" s="14">
        <v>1</v>
      </c>
      <c r="P463" s="15">
        <f t="shared" si="7"/>
        <v>200</v>
      </c>
      <c r="Q463" s="16">
        <v>44074</v>
      </c>
      <c r="R463" s="17">
        <v>7</v>
      </c>
      <c r="S463" s="13" t="s">
        <v>0</v>
      </c>
    </row>
    <row r="464" spans="1:19" x14ac:dyDescent="0.25">
      <c r="A464" s="13">
        <v>982074443</v>
      </c>
      <c r="B464" s="27" t="s">
        <v>233</v>
      </c>
      <c r="C464" s="28">
        <v>1</v>
      </c>
      <c r="D464" s="13">
        <v>390336</v>
      </c>
      <c r="E464" s="13"/>
      <c r="F464" s="13">
        <v>200</v>
      </c>
      <c r="G464" s="13">
        <v>200</v>
      </c>
      <c r="H464" s="13"/>
      <c r="I464" s="13"/>
      <c r="J464" s="13"/>
      <c r="K464" s="13">
        <v>200</v>
      </c>
      <c r="L464" s="13"/>
      <c r="M464" s="13" t="s">
        <v>23</v>
      </c>
      <c r="N464" s="13">
        <f>IFERROR(VLOOKUP($A:$A,[1]KION_IND_E_COM_LT!$A:$T,18,0),"")</f>
        <v>0</v>
      </c>
      <c r="O464" s="14">
        <v>1</v>
      </c>
      <c r="P464" s="15">
        <f t="shared" si="7"/>
        <v>200</v>
      </c>
      <c r="Q464" s="16">
        <v>44088</v>
      </c>
      <c r="R464" s="17">
        <v>9</v>
      </c>
      <c r="S464" s="13" t="s">
        <v>0</v>
      </c>
    </row>
    <row r="465" spans="1:19" x14ac:dyDescent="0.25">
      <c r="A465" s="13">
        <v>982074451</v>
      </c>
      <c r="B465" s="27" t="s">
        <v>142</v>
      </c>
      <c r="C465" s="28">
        <v>0</v>
      </c>
      <c r="D465" s="13">
        <v>390336</v>
      </c>
      <c r="E465" s="13"/>
      <c r="F465" s="13">
        <v>250</v>
      </c>
      <c r="G465" s="13">
        <v>250</v>
      </c>
      <c r="H465" s="13"/>
      <c r="I465" s="13"/>
      <c r="J465" s="13"/>
      <c r="K465" s="13">
        <v>250</v>
      </c>
      <c r="L465" s="22" t="s">
        <v>21</v>
      </c>
      <c r="M465" s="13" t="s">
        <v>60</v>
      </c>
      <c r="N465" s="13">
        <f>IFERROR(VLOOKUP($A:$A,[1]KION_IND_E_COM_LT!$A:$T,18,0),"")</f>
        <v>0</v>
      </c>
      <c r="O465" s="14">
        <v>1</v>
      </c>
      <c r="P465" s="15">
        <f t="shared" si="7"/>
        <v>250</v>
      </c>
      <c r="Q465" s="16">
        <v>44067</v>
      </c>
      <c r="R465" s="17">
        <v>6</v>
      </c>
      <c r="S465" s="13" t="s">
        <v>0</v>
      </c>
    </row>
    <row r="466" spans="1:19" x14ac:dyDescent="0.25">
      <c r="A466" s="13">
        <v>982074452</v>
      </c>
      <c r="B466" s="27" t="s">
        <v>142</v>
      </c>
      <c r="C466" s="28">
        <v>0</v>
      </c>
      <c r="D466" s="13">
        <v>390336</v>
      </c>
      <c r="E466" s="13"/>
      <c r="F466" s="13">
        <v>250</v>
      </c>
      <c r="G466" s="13">
        <v>250</v>
      </c>
      <c r="H466" s="13"/>
      <c r="I466" s="13"/>
      <c r="J466" s="13"/>
      <c r="K466" s="13">
        <v>250</v>
      </c>
      <c r="L466" s="22" t="s">
        <v>21</v>
      </c>
      <c r="M466" s="13" t="s">
        <v>60</v>
      </c>
      <c r="N466" s="13">
        <f>IFERROR(VLOOKUP($A:$A,[1]KION_IND_E_COM_LT!$A:$T,18,0),"")</f>
        <v>0</v>
      </c>
      <c r="O466" s="14">
        <v>1</v>
      </c>
      <c r="P466" s="15">
        <f t="shared" si="7"/>
        <v>250</v>
      </c>
      <c r="Q466" s="16">
        <v>44074</v>
      </c>
      <c r="R466" s="17">
        <v>7</v>
      </c>
      <c r="S466" s="13" t="s">
        <v>0</v>
      </c>
    </row>
    <row r="467" spans="1:19" x14ac:dyDescent="0.25">
      <c r="A467" s="13">
        <v>982074453</v>
      </c>
      <c r="B467" s="27" t="s">
        <v>142</v>
      </c>
      <c r="C467" s="28">
        <v>0</v>
      </c>
      <c r="D467" s="13">
        <v>390336</v>
      </c>
      <c r="E467" s="13"/>
      <c r="F467" s="13">
        <v>200</v>
      </c>
      <c r="G467" s="13">
        <v>200</v>
      </c>
      <c r="H467" s="13"/>
      <c r="I467" s="13"/>
      <c r="J467" s="13"/>
      <c r="K467" s="13">
        <v>200</v>
      </c>
      <c r="L467" s="13"/>
      <c r="M467" s="13" t="s">
        <v>23</v>
      </c>
      <c r="N467" s="13">
        <f>IFERROR(VLOOKUP($A:$A,[1]KION_IND_E_COM_LT!$A:$T,18,0),"")</f>
        <v>0</v>
      </c>
      <c r="O467" s="14">
        <v>1</v>
      </c>
      <c r="P467" s="15">
        <f t="shared" si="7"/>
        <v>200</v>
      </c>
      <c r="Q467" s="16">
        <v>44081</v>
      </c>
      <c r="R467" s="17">
        <v>8</v>
      </c>
      <c r="S467" s="13" t="s">
        <v>0</v>
      </c>
    </row>
    <row r="468" spans="1:19" x14ac:dyDescent="0.25">
      <c r="A468" s="13">
        <v>982074454</v>
      </c>
      <c r="B468" s="27" t="s">
        <v>142</v>
      </c>
      <c r="C468" s="28">
        <v>0</v>
      </c>
      <c r="D468" s="13">
        <v>390336</v>
      </c>
      <c r="E468" s="13"/>
      <c r="F468" s="13">
        <v>250</v>
      </c>
      <c r="G468" s="13">
        <v>250</v>
      </c>
      <c r="H468" s="13"/>
      <c r="I468" s="13"/>
      <c r="J468" s="13"/>
      <c r="K468" s="13">
        <v>250</v>
      </c>
      <c r="L468" s="13"/>
      <c r="M468" s="13" t="s">
        <v>23</v>
      </c>
      <c r="N468" s="13">
        <f>IFERROR(VLOOKUP($A:$A,[1]KION_IND_E_COM_LT!$A:$T,18,0),"")</f>
        <v>0</v>
      </c>
      <c r="O468" s="14">
        <v>1</v>
      </c>
      <c r="P468" s="15">
        <f t="shared" si="7"/>
        <v>250</v>
      </c>
      <c r="Q468" s="16">
        <v>44088</v>
      </c>
      <c r="R468" s="17">
        <v>9</v>
      </c>
      <c r="S468" s="13" t="s">
        <v>0</v>
      </c>
    </row>
    <row r="469" spans="1:19" x14ac:dyDescent="0.25">
      <c r="A469" s="13">
        <v>982074455</v>
      </c>
      <c r="B469" s="27" t="s">
        <v>142</v>
      </c>
      <c r="C469" s="28">
        <v>0</v>
      </c>
      <c r="D469" s="13">
        <v>390336</v>
      </c>
      <c r="E469" s="13"/>
      <c r="F469" s="13">
        <v>200</v>
      </c>
      <c r="G469" s="13">
        <v>200</v>
      </c>
      <c r="H469" s="13"/>
      <c r="I469" s="13"/>
      <c r="J469" s="13"/>
      <c r="K469" s="13">
        <v>200</v>
      </c>
      <c r="L469" s="13"/>
      <c r="M469" s="13" t="s">
        <v>23</v>
      </c>
      <c r="N469" s="13">
        <f>IFERROR(VLOOKUP($A:$A,[1]KION_IND_E_COM_LT!$A:$T,18,0),"")</f>
        <v>0</v>
      </c>
      <c r="O469" s="14">
        <v>1</v>
      </c>
      <c r="P469" s="15">
        <f t="shared" si="7"/>
        <v>200</v>
      </c>
      <c r="Q469" s="16">
        <v>44109</v>
      </c>
      <c r="R469" s="17">
        <v>12</v>
      </c>
      <c r="S469" s="13" t="s">
        <v>0</v>
      </c>
    </row>
    <row r="470" spans="1:19" x14ac:dyDescent="0.25">
      <c r="A470" s="13">
        <v>982074456</v>
      </c>
      <c r="B470" s="27" t="s">
        <v>142</v>
      </c>
      <c r="C470" s="28">
        <v>0</v>
      </c>
      <c r="D470" s="13">
        <v>390336</v>
      </c>
      <c r="E470" s="13"/>
      <c r="F470" s="13">
        <v>150</v>
      </c>
      <c r="G470" s="13">
        <v>150</v>
      </c>
      <c r="H470" s="13"/>
      <c r="I470" s="13"/>
      <c r="J470" s="13"/>
      <c r="K470" s="13">
        <v>150</v>
      </c>
      <c r="L470" s="13"/>
      <c r="M470" s="13" t="s">
        <v>23</v>
      </c>
      <c r="N470" s="13">
        <f>IFERROR(VLOOKUP($A:$A,[1]KION_IND_E_COM_LT!$A:$T,18,0),"")</f>
        <v>0</v>
      </c>
      <c r="O470" s="14">
        <v>1</v>
      </c>
      <c r="P470" s="15">
        <f t="shared" si="7"/>
        <v>150</v>
      </c>
      <c r="Q470" s="16">
        <v>44116</v>
      </c>
      <c r="R470" s="17">
        <v>13</v>
      </c>
      <c r="S470" s="13" t="s">
        <v>0</v>
      </c>
    </row>
    <row r="471" spans="1:19" x14ac:dyDescent="0.25">
      <c r="A471" s="13">
        <v>982074461</v>
      </c>
      <c r="B471" s="27" t="s">
        <v>244</v>
      </c>
      <c r="C471" s="28">
        <v>3</v>
      </c>
      <c r="D471" s="13">
        <v>390336</v>
      </c>
      <c r="E471" s="13"/>
      <c r="F471" s="13">
        <v>250</v>
      </c>
      <c r="G471" s="13">
        <v>250</v>
      </c>
      <c r="H471" s="13"/>
      <c r="I471" s="13"/>
      <c r="J471" s="13"/>
      <c r="K471" s="13">
        <v>250</v>
      </c>
      <c r="L471" s="22" t="s">
        <v>21</v>
      </c>
      <c r="M471" s="13" t="s">
        <v>320</v>
      </c>
      <c r="N471" s="13">
        <f>IFERROR(VLOOKUP($A:$A,[1]KION_IND_E_COM_LT!$A:$T,18,0),"")</f>
        <v>0</v>
      </c>
      <c r="O471" s="14">
        <v>1</v>
      </c>
      <c r="P471" s="15">
        <f t="shared" si="7"/>
        <v>250</v>
      </c>
      <c r="Q471" s="16">
        <v>44074</v>
      </c>
      <c r="R471" s="17">
        <v>7</v>
      </c>
      <c r="S471" s="13" t="s">
        <v>0</v>
      </c>
    </row>
    <row r="472" spans="1:19" x14ac:dyDescent="0.25">
      <c r="A472" s="13">
        <v>982074462</v>
      </c>
      <c r="B472" s="27" t="s">
        <v>244</v>
      </c>
      <c r="C472" s="28">
        <v>3</v>
      </c>
      <c r="D472" s="13">
        <v>390336</v>
      </c>
      <c r="E472" s="13"/>
      <c r="F472" s="13">
        <v>200</v>
      </c>
      <c r="G472" s="13">
        <v>200</v>
      </c>
      <c r="H472" s="13"/>
      <c r="I472" s="13"/>
      <c r="J472" s="13"/>
      <c r="K472" s="13">
        <v>200</v>
      </c>
      <c r="L472" s="13"/>
      <c r="M472" s="13" t="s">
        <v>23</v>
      </c>
      <c r="N472" s="13">
        <f>IFERROR(VLOOKUP($A:$A,[1]KION_IND_E_COM_LT!$A:$T,18,0),"")</f>
        <v>0</v>
      </c>
      <c r="O472" s="14">
        <v>1</v>
      </c>
      <c r="P472" s="15">
        <f t="shared" si="7"/>
        <v>200</v>
      </c>
      <c r="Q472" s="16">
        <v>44095</v>
      </c>
      <c r="R472" s="17">
        <v>10</v>
      </c>
      <c r="S472" s="13" t="s">
        <v>0</v>
      </c>
    </row>
    <row r="473" spans="1:19" x14ac:dyDescent="0.25">
      <c r="A473" s="13">
        <v>982074463</v>
      </c>
      <c r="B473" s="27" t="s">
        <v>244</v>
      </c>
      <c r="C473" s="28">
        <v>3</v>
      </c>
      <c r="D473" s="13">
        <v>390336</v>
      </c>
      <c r="E473" s="13"/>
      <c r="F473" s="13">
        <v>200</v>
      </c>
      <c r="G473" s="13">
        <v>200</v>
      </c>
      <c r="H473" s="13"/>
      <c r="I473" s="13"/>
      <c r="J473" s="13"/>
      <c r="K473" s="13">
        <v>200</v>
      </c>
      <c r="L473" s="13"/>
      <c r="M473" s="13" t="s">
        <v>23</v>
      </c>
      <c r="N473" s="13">
        <f>IFERROR(VLOOKUP($A:$A,[1]KION_IND_E_COM_LT!$A:$T,18,0),"")</f>
        <v>0</v>
      </c>
      <c r="O473" s="14">
        <v>1</v>
      </c>
      <c r="P473" s="15">
        <f t="shared" si="7"/>
        <v>200</v>
      </c>
      <c r="Q473" s="16">
        <v>44116</v>
      </c>
      <c r="R473" s="17">
        <v>13</v>
      </c>
      <c r="S473" s="13" t="s">
        <v>0</v>
      </c>
    </row>
    <row r="474" spans="1:19" x14ac:dyDescent="0.25">
      <c r="A474" s="13">
        <v>982074481</v>
      </c>
      <c r="B474" s="27" t="s">
        <v>196</v>
      </c>
      <c r="C474" s="28">
        <v>1</v>
      </c>
      <c r="D474" s="13">
        <v>390336</v>
      </c>
      <c r="E474" s="13"/>
      <c r="F474" s="13">
        <v>150</v>
      </c>
      <c r="G474" s="13">
        <v>100</v>
      </c>
      <c r="H474" s="13"/>
      <c r="I474" s="13"/>
      <c r="J474" s="13">
        <v>100</v>
      </c>
      <c r="K474" s="13">
        <v>0</v>
      </c>
      <c r="L474" s="22" t="s">
        <v>21</v>
      </c>
      <c r="M474" s="13" t="s">
        <v>320</v>
      </c>
      <c r="N474" s="13">
        <f>IFERROR(VLOOKUP($A:$A,[1]KION_IND_E_COM_LT!$A:$T,18,0),"")</f>
        <v>0</v>
      </c>
      <c r="O474" s="14"/>
      <c r="P474" s="15">
        <f t="shared" si="7"/>
        <v>0</v>
      </c>
      <c r="Q474" s="16"/>
      <c r="R474" s="17">
        <v>6</v>
      </c>
      <c r="S474" s="13" t="s">
        <v>0</v>
      </c>
    </row>
    <row r="475" spans="1:19" x14ac:dyDescent="0.25">
      <c r="A475" s="13">
        <v>982074482</v>
      </c>
      <c r="B475" s="27" t="s">
        <v>196</v>
      </c>
      <c r="C475" s="28">
        <v>1</v>
      </c>
      <c r="D475" s="13">
        <v>390336</v>
      </c>
      <c r="E475" s="13"/>
      <c r="F475" s="13">
        <v>100</v>
      </c>
      <c r="G475" s="13">
        <v>100</v>
      </c>
      <c r="H475" s="13"/>
      <c r="I475" s="13"/>
      <c r="J475" s="13"/>
      <c r="K475" s="13">
        <v>100</v>
      </c>
      <c r="L475" s="22" t="s">
        <v>21</v>
      </c>
      <c r="M475" s="13" t="s">
        <v>320</v>
      </c>
      <c r="N475" s="22" t="s">
        <v>63</v>
      </c>
      <c r="O475" s="14">
        <v>1</v>
      </c>
      <c r="P475" s="15">
        <f t="shared" si="7"/>
        <v>100</v>
      </c>
      <c r="Q475" s="16">
        <v>44067</v>
      </c>
      <c r="R475" s="17">
        <v>6</v>
      </c>
      <c r="S475" s="13" t="s">
        <v>0</v>
      </c>
    </row>
    <row r="476" spans="1:19" x14ac:dyDescent="0.25">
      <c r="A476" s="13">
        <v>982074483</v>
      </c>
      <c r="B476" s="27" t="s">
        <v>196</v>
      </c>
      <c r="C476" s="28">
        <v>1</v>
      </c>
      <c r="D476" s="13">
        <v>390336</v>
      </c>
      <c r="E476" s="13"/>
      <c r="F476" s="13">
        <v>100</v>
      </c>
      <c r="G476" s="13">
        <v>100</v>
      </c>
      <c r="H476" s="13"/>
      <c r="I476" s="13"/>
      <c r="J476" s="13"/>
      <c r="K476" s="13">
        <v>100</v>
      </c>
      <c r="L476" s="22" t="s">
        <v>21</v>
      </c>
      <c r="M476" s="13" t="s">
        <v>320</v>
      </c>
      <c r="N476" s="13">
        <f>IFERROR(VLOOKUP($A:$A,[1]KION_IND_E_COM_LT!$A:$T,18,0),"")</f>
        <v>0</v>
      </c>
      <c r="O476" s="14">
        <v>1</v>
      </c>
      <c r="P476" s="15">
        <f t="shared" si="7"/>
        <v>100</v>
      </c>
      <c r="Q476" s="16">
        <v>44081</v>
      </c>
      <c r="R476" s="17">
        <v>8</v>
      </c>
      <c r="S476" s="13" t="s">
        <v>0</v>
      </c>
    </row>
    <row r="477" spans="1:19" x14ac:dyDescent="0.25">
      <c r="A477" s="13">
        <v>982074491</v>
      </c>
      <c r="B477" s="27" t="s">
        <v>197</v>
      </c>
      <c r="C477" s="28">
        <v>1</v>
      </c>
      <c r="D477" s="13">
        <v>390336</v>
      </c>
      <c r="E477" s="13"/>
      <c r="F477" s="13">
        <v>150</v>
      </c>
      <c r="G477" s="13">
        <v>100</v>
      </c>
      <c r="H477" s="13"/>
      <c r="I477" s="13"/>
      <c r="J477" s="13">
        <v>100</v>
      </c>
      <c r="K477" s="13">
        <v>0</v>
      </c>
      <c r="L477" s="22" t="s">
        <v>21</v>
      </c>
      <c r="M477" s="13" t="s">
        <v>320</v>
      </c>
      <c r="N477" s="13">
        <f>IFERROR(VLOOKUP($A:$A,[1]KION_IND_E_COM_LT!$A:$T,18,0),"")</f>
        <v>0</v>
      </c>
      <c r="O477" s="14"/>
      <c r="P477" s="15">
        <f t="shared" si="7"/>
        <v>0</v>
      </c>
      <c r="Q477" s="16"/>
      <c r="R477" s="17">
        <v>8</v>
      </c>
      <c r="S477" s="13" t="s">
        <v>0</v>
      </c>
    </row>
    <row r="478" spans="1:19" x14ac:dyDescent="0.25">
      <c r="A478" s="13">
        <v>982074492</v>
      </c>
      <c r="B478" s="27" t="s">
        <v>197</v>
      </c>
      <c r="C478" s="28">
        <v>1</v>
      </c>
      <c r="D478" s="13">
        <v>390336</v>
      </c>
      <c r="E478" s="13"/>
      <c r="F478" s="13">
        <v>100</v>
      </c>
      <c r="G478" s="13">
        <v>100</v>
      </c>
      <c r="H478" s="13"/>
      <c r="I478" s="13"/>
      <c r="J478" s="13"/>
      <c r="K478" s="13">
        <v>100</v>
      </c>
      <c r="L478" s="22" t="s">
        <v>21</v>
      </c>
      <c r="M478" s="13" t="s">
        <v>320</v>
      </c>
      <c r="N478" s="13">
        <f>IFERROR(VLOOKUP($A:$A,[1]KION_IND_E_COM_LT!$A:$T,18,0),"")</f>
        <v>0</v>
      </c>
      <c r="O478" s="14">
        <v>1</v>
      </c>
      <c r="P478" s="15">
        <f t="shared" si="7"/>
        <v>100</v>
      </c>
      <c r="Q478" s="16">
        <v>44081</v>
      </c>
      <c r="R478" s="17">
        <v>8</v>
      </c>
      <c r="S478" s="13" t="s">
        <v>0</v>
      </c>
    </row>
    <row r="479" spans="1:19" x14ac:dyDescent="0.25">
      <c r="A479" s="13">
        <v>982074501</v>
      </c>
      <c r="B479" s="27" t="s">
        <v>198</v>
      </c>
      <c r="C479" s="28">
        <v>1</v>
      </c>
      <c r="D479" s="13">
        <v>390336</v>
      </c>
      <c r="E479" s="13"/>
      <c r="F479" s="13">
        <v>150</v>
      </c>
      <c r="G479" s="13">
        <v>150</v>
      </c>
      <c r="H479" s="13"/>
      <c r="I479" s="13"/>
      <c r="J479" s="13"/>
      <c r="K479" s="13">
        <v>150</v>
      </c>
      <c r="L479" s="22" t="s">
        <v>21</v>
      </c>
      <c r="M479" s="13" t="s">
        <v>320</v>
      </c>
      <c r="N479" s="22" t="s">
        <v>64</v>
      </c>
      <c r="O479" s="14">
        <v>1</v>
      </c>
      <c r="P479" s="15">
        <f t="shared" si="7"/>
        <v>150</v>
      </c>
      <c r="Q479" s="16" t="s">
        <v>4</v>
      </c>
      <c r="R479" s="17">
        <v>3</v>
      </c>
      <c r="S479" s="13" t="s">
        <v>0</v>
      </c>
    </row>
    <row r="480" spans="1:19" x14ac:dyDescent="0.25">
      <c r="A480" s="13">
        <v>982074502</v>
      </c>
      <c r="B480" s="27" t="s">
        <v>198</v>
      </c>
      <c r="C480" s="28">
        <v>1</v>
      </c>
      <c r="D480" s="13">
        <v>390336</v>
      </c>
      <c r="E480" s="13"/>
      <c r="F480" s="13">
        <v>100</v>
      </c>
      <c r="G480" s="13">
        <v>100</v>
      </c>
      <c r="H480" s="13"/>
      <c r="I480" s="13"/>
      <c r="J480" s="13"/>
      <c r="K480" s="13">
        <v>100</v>
      </c>
      <c r="L480" s="22" t="s">
        <v>21</v>
      </c>
      <c r="M480" s="13" t="s">
        <v>320</v>
      </c>
      <c r="N480" s="22" t="s">
        <v>64</v>
      </c>
      <c r="O480" s="14">
        <v>1</v>
      </c>
      <c r="P480" s="15">
        <f t="shared" si="7"/>
        <v>100</v>
      </c>
      <c r="Q480" s="16">
        <v>44067</v>
      </c>
      <c r="R480" s="17">
        <v>6</v>
      </c>
      <c r="S480" s="13" t="s">
        <v>0</v>
      </c>
    </row>
    <row r="481" spans="1:19" x14ac:dyDescent="0.25">
      <c r="A481" s="13">
        <v>982074503</v>
      </c>
      <c r="B481" s="27" t="s">
        <v>198</v>
      </c>
      <c r="C481" s="28">
        <v>1</v>
      </c>
      <c r="D481" s="13">
        <v>390336</v>
      </c>
      <c r="E481" s="13"/>
      <c r="F481" s="13">
        <v>100</v>
      </c>
      <c r="G481" s="13">
        <v>100</v>
      </c>
      <c r="H481" s="13"/>
      <c r="I481" s="13"/>
      <c r="J481" s="13"/>
      <c r="K481" s="13">
        <v>100</v>
      </c>
      <c r="L481" s="22" t="s">
        <v>21</v>
      </c>
      <c r="M481" s="13" t="s">
        <v>320</v>
      </c>
      <c r="N481" s="13">
        <f>IFERROR(VLOOKUP($A:$A,[1]KION_IND_E_COM_LT!$A:$T,18,0),"")</f>
        <v>0</v>
      </c>
      <c r="O481" s="14">
        <v>1</v>
      </c>
      <c r="P481" s="15">
        <f t="shared" si="7"/>
        <v>100</v>
      </c>
      <c r="Q481" s="16">
        <v>44081</v>
      </c>
      <c r="R481" s="17">
        <v>8</v>
      </c>
      <c r="S481" s="13" t="s">
        <v>0</v>
      </c>
    </row>
    <row r="482" spans="1:19" x14ac:dyDescent="0.25">
      <c r="A482" s="13">
        <v>982074521</v>
      </c>
      <c r="B482" s="27" t="s">
        <v>199</v>
      </c>
      <c r="C482" s="28">
        <v>1</v>
      </c>
      <c r="D482" s="13">
        <v>390336</v>
      </c>
      <c r="E482" s="13"/>
      <c r="F482" s="13">
        <v>150</v>
      </c>
      <c r="G482" s="13">
        <v>100</v>
      </c>
      <c r="H482" s="13"/>
      <c r="I482" s="13">
        <v>100</v>
      </c>
      <c r="J482" s="13"/>
      <c r="K482" s="13">
        <v>0</v>
      </c>
      <c r="L482" s="22" t="s">
        <v>21</v>
      </c>
      <c r="M482" s="13" t="s">
        <v>32</v>
      </c>
      <c r="N482" s="13">
        <f>IFERROR(VLOOKUP($A:$A,[1]KION_IND_E_COM_LT!$A:$T,18,0),"")</f>
        <v>0</v>
      </c>
      <c r="O482" s="14"/>
      <c r="P482" s="15">
        <f t="shared" si="7"/>
        <v>0</v>
      </c>
      <c r="Q482" s="16"/>
      <c r="R482" s="17">
        <v>8</v>
      </c>
      <c r="S482" s="13" t="s">
        <v>0</v>
      </c>
    </row>
    <row r="483" spans="1:19" x14ac:dyDescent="0.25">
      <c r="A483" s="13">
        <v>982074522</v>
      </c>
      <c r="B483" s="27" t="s">
        <v>199</v>
      </c>
      <c r="C483" s="28">
        <v>1</v>
      </c>
      <c r="D483" s="13">
        <v>390336</v>
      </c>
      <c r="E483" s="13"/>
      <c r="F483" s="13">
        <v>100</v>
      </c>
      <c r="G483" s="13">
        <v>100</v>
      </c>
      <c r="H483" s="13"/>
      <c r="I483" s="13">
        <v>100</v>
      </c>
      <c r="J483" s="13"/>
      <c r="K483" s="13">
        <v>0</v>
      </c>
      <c r="L483" s="22" t="s">
        <v>21</v>
      </c>
      <c r="M483" s="13" t="s">
        <v>320</v>
      </c>
      <c r="N483" s="13" t="str">
        <f>IFERROR(VLOOKUP($A:$A,[1]KION_IND_E_COM_LT!$A:$T,18,0),"")</f>
        <v>10/08 - A</v>
      </c>
      <c r="O483" s="14"/>
      <c r="P483" s="15">
        <f t="shared" si="7"/>
        <v>0</v>
      </c>
      <c r="Q483" s="16"/>
      <c r="R483" s="17">
        <v>8</v>
      </c>
      <c r="S483" s="13" t="s">
        <v>0</v>
      </c>
    </row>
    <row r="484" spans="1:19" x14ac:dyDescent="0.25">
      <c r="A484" s="13">
        <v>982074523</v>
      </c>
      <c r="B484" s="27" t="s">
        <v>199</v>
      </c>
      <c r="C484" s="28">
        <v>1</v>
      </c>
      <c r="D484" s="13">
        <v>390336</v>
      </c>
      <c r="E484" s="13"/>
      <c r="F484" s="13">
        <v>100</v>
      </c>
      <c r="G484" s="13">
        <v>100</v>
      </c>
      <c r="H484" s="13"/>
      <c r="I484" s="13"/>
      <c r="J484" s="13"/>
      <c r="K484" s="13">
        <v>100</v>
      </c>
      <c r="L484" s="22" t="s">
        <v>21</v>
      </c>
      <c r="M484" s="13" t="s">
        <v>60</v>
      </c>
      <c r="N484" s="13">
        <f>IFERROR(VLOOKUP($A:$A,[1]KION_IND_E_COM_LT!$A:$T,18,0),"")</f>
        <v>0</v>
      </c>
      <c r="O484" s="14">
        <v>1</v>
      </c>
      <c r="P484" s="15">
        <f t="shared" si="7"/>
        <v>100</v>
      </c>
      <c r="Q484" s="16">
        <v>44081</v>
      </c>
      <c r="R484" s="17">
        <v>8</v>
      </c>
      <c r="S484" s="13" t="s">
        <v>0</v>
      </c>
    </row>
    <row r="485" spans="1:19" x14ac:dyDescent="0.25">
      <c r="A485" s="13">
        <v>982074531</v>
      </c>
      <c r="B485" s="27" t="s">
        <v>193</v>
      </c>
      <c r="C485" s="28">
        <v>0</v>
      </c>
      <c r="D485" s="13">
        <v>390336</v>
      </c>
      <c r="E485" s="13"/>
      <c r="F485" s="13">
        <v>150</v>
      </c>
      <c r="G485" s="13">
        <v>100</v>
      </c>
      <c r="H485" s="13"/>
      <c r="I485" s="13">
        <v>100</v>
      </c>
      <c r="J485" s="13"/>
      <c r="K485" s="13">
        <v>0</v>
      </c>
      <c r="L485" s="22" t="s">
        <v>21</v>
      </c>
      <c r="M485" s="13" t="s">
        <v>32</v>
      </c>
      <c r="N485" s="13">
        <f>IFERROR(VLOOKUP($A:$A,[1]KION_IND_E_COM_LT!$A:$T,18,0),"")</f>
        <v>0</v>
      </c>
      <c r="O485" s="14"/>
      <c r="P485" s="15">
        <f t="shared" si="7"/>
        <v>0</v>
      </c>
      <c r="Q485" s="16"/>
      <c r="R485" s="17">
        <v>8</v>
      </c>
      <c r="S485" s="13" t="s">
        <v>0</v>
      </c>
    </row>
    <row r="486" spans="1:19" x14ac:dyDescent="0.25">
      <c r="A486" s="13">
        <v>982074532</v>
      </c>
      <c r="B486" s="27" t="s">
        <v>193</v>
      </c>
      <c r="C486" s="28">
        <v>0</v>
      </c>
      <c r="D486" s="13">
        <v>390336</v>
      </c>
      <c r="E486" s="13"/>
      <c r="F486" s="13">
        <v>100</v>
      </c>
      <c r="G486" s="13">
        <v>100</v>
      </c>
      <c r="H486" s="13"/>
      <c r="I486" s="13"/>
      <c r="J486" s="13"/>
      <c r="K486" s="13">
        <v>100</v>
      </c>
      <c r="L486" s="22" t="s">
        <v>21</v>
      </c>
      <c r="M486" s="13" t="s">
        <v>320</v>
      </c>
      <c r="N486" s="13">
        <f>IFERROR(VLOOKUP($A:$A,[1]KION_IND_E_COM_LT!$A:$T,18,0),"")</f>
        <v>0</v>
      </c>
      <c r="O486" s="14">
        <v>1</v>
      </c>
      <c r="P486" s="15">
        <f t="shared" si="7"/>
        <v>100</v>
      </c>
      <c r="Q486" s="16">
        <v>44081</v>
      </c>
      <c r="R486" s="17">
        <v>8</v>
      </c>
      <c r="S486" s="13" t="s">
        <v>0</v>
      </c>
    </row>
    <row r="487" spans="1:19" x14ac:dyDescent="0.25">
      <c r="A487" s="13">
        <v>982074551</v>
      </c>
      <c r="B487" s="27" t="s">
        <v>153</v>
      </c>
      <c r="C487" s="28">
        <v>0</v>
      </c>
      <c r="D487" s="13">
        <v>390336</v>
      </c>
      <c r="E487" s="13"/>
      <c r="F487" s="13">
        <v>150</v>
      </c>
      <c r="G487" s="13">
        <v>100</v>
      </c>
      <c r="H487" s="13"/>
      <c r="I487" s="13"/>
      <c r="J487" s="13">
        <v>100</v>
      </c>
      <c r="K487" s="13">
        <v>0</v>
      </c>
      <c r="L487" s="22" t="s">
        <v>21</v>
      </c>
      <c r="M487" s="13" t="s">
        <v>320</v>
      </c>
      <c r="N487" s="13">
        <f>IFERROR(VLOOKUP($A:$A,[1]KION_IND_E_COM_LT!$A:$T,18,0),"")</f>
        <v>0</v>
      </c>
      <c r="O487" s="14"/>
      <c r="P487" s="15">
        <f t="shared" si="7"/>
        <v>0</v>
      </c>
      <c r="Q487" s="16"/>
      <c r="R487" s="17">
        <v>8</v>
      </c>
      <c r="S487" s="13" t="s">
        <v>0</v>
      </c>
    </row>
    <row r="488" spans="1:19" x14ac:dyDescent="0.25">
      <c r="A488" s="13">
        <v>982074552</v>
      </c>
      <c r="B488" s="27" t="s">
        <v>153</v>
      </c>
      <c r="C488" s="28">
        <v>0</v>
      </c>
      <c r="D488" s="13">
        <v>390336</v>
      </c>
      <c r="E488" s="13"/>
      <c r="F488" s="13">
        <v>100</v>
      </c>
      <c r="G488" s="13">
        <v>100</v>
      </c>
      <c r="H488" s="13"/>
      <c r="I488" s="13"/>
      <c r="J488" s="13"/>
      <c r="K488" s="13">
        <v>100</v>
      </c>
      <c r="L488" s="22" t="s">
        <v>21</v>
      </c>
      <c r="M488" s="13" t="s">
        <v>320</v>
      </c>
      <c r="N488" s="13">
        <f>IFERROR(VLOOKUP($A:$A,[1]KION_IND_E_COM_LT!$A:$T,18,0),"")</f>
        <v>0</v>
      </c>
      <c r="O488" s="14">
        <v>1</v>
      </c>
      <c r="P488" s="15">
        <f t="shared" si="7"/>
        <v>100</v>
      </c>
      <c r="Q488" s="16">
        <v>44081</v>
      </c>
      <c r="R488" s="17">
        <v>8</v>
      </c>
      <c r="S488" s="13" t="s">
        <v>0</v>
      </c>
    </row>
    <row r="489" spans="1:19" x14ac:dyDescent="0.25">
      <c r="A489" s="13">
        <v>982074561</v>
      </c>
      <c r="B489" s="27" t="s">
        <v>164</v>
      </c>
      <c r="C489" s="28">
        <v>0</v>
      </c>
      <c r="D489" s="13">
        <v>390336</v>
      </c>
      <c r="E489" s="13"/>
      <c r="F489" s="13">
        <v>150</v>
      </c>
      <c r="G489" s="13">
        <v>100</v>
      </c>
      <c r="H489" s="13"/>
      <c r="I489" s="13"/>
      <c r="J489" s="13">
        <v>100</v>
      </c>
      <c r="K489" s="13">
        <v>0</v>
      </c>
      <c r="L489" s="22" t="s">
        <v>21</v>
      </c>
      <c r="M489" s="13" t="s">
        <v>320</v>
      </c>
      <c r="N489" s="13">
        <f>IFERROR(VLOOKUP($A:$A,[1]KION_IND_E_COM_LT!$A:$T,18,0),"")</f>
        <v>0</v>
      </c>
      <c r="O489" s="14"/>
      <c r="P489" s="15">
        <f t="shared" si="7"/>
        <v>0</v>
      </c>
      <c r="Q489" s="16"/>
      <c r="R489" s="17">
        <v>8</v>
      </c>
      <c r="S489" s="13" t="s">
        <v>0</v>
      </c>
    </row>
    <row r="490" spans="1:19" x14ac:dyDescent="0.25">
      <c r="A490" s="13">
        <v>982074562</v>
      </c>
      <c r="B490" s="27" t="s">
        <v>164</v>
      </c>
      <c r="C490" s="28">
        <v>0</v>
      </c>
      <c r="D490" s="13">
        <v>390336</v>
      </c>
      <c r="E490" s="13"/>
      <c r="F490" s="13">
        <v>100</v>
      </c>
      <c r="G490" s="13">
        <v>100</v>
      </c>
      <c r="H490" s="13"/>
      <c r="I490" s="13"/>
      <c r="J490" s="13"/>
      <c r="K490" s="13">
        <v>100</v>
      </c>
      <c r="L490" s="22" t="s">
        <v>21</v>
      </c>
      <c r="M490" s="13" t="s">
        <v>320</v>
      </c>
      <c r="N490" s="13">
        <f>IFERROR(VLOOKUP($A:$A,[1]KION_IND_E_COM_LT!$A:$T,18,0),"")</f>
        <v>0</v>
      </c>
      <c r="O490" s="14">
        <v>1</v>
      </c>
      <c r="P490" s="15">
        <f t="shared" si="7"/>
        <v>100</v>
      </c>
      <c r="Q490" s="16">
        <v>44081</v>
      </c>
      <c r="R490" s="17">
        <v>8</v>
      </c>
      <c r="S490" s="13" t="s">
        <v>0</v>
      </c>
    </row>
    <row r="491" spans="1:19" x14ac:dyDescent="0.25">
      <c r="A491" s="13">
        <v>982074581</v>
      </c>
      <c r="B491" s="27" t="s">
        <v>268</v>
      </c>
      <c r="C491" s="28">
        <v>0</v>
      </c>
      <c r="D491" s="13">
        <v>390336</v>
      </c>
      <c r="E491" s="13"/>
      <c r="F491" s="13">
        <v>150</v>
      </c>
      <c r="G491" s="13">
        <v>100</v>
      </c>
      <c r="H491" s="13"/>
      <c r="I491" s="13">
        <v>100</v>
      </c>
      <c r="J491" s="13"/>
      <c r="K491" s="13">
        <v>0</v>
      </c>
      <c r="L491" s="22" t="s">
        <v>21</v>
      </c>
      <c r="M491" s="13" t="s">
        <v>320</v>
      </c>
      <c r="N491" s="13">
        <f>IFERROR(VLOOKUP($A:$A,[1]KION_IND_E_COM_LT!$A:$T,18,0),"")</f>
        <v>0</v>
      </c>
      <c r="O491" s="14"/>
      <c r="P491" s="15">
        <f t="shared" si="7"/>
        <v>0</v>
      </c>
      <c r="Q491" s="16"/>
      <c r="R491" s="17" t="s">
        <v>3</v>
      </c>
      <c r="S491" s="13" t="s">
        <v>0</v>
      </c>
    </row>
    <row r="492" spans="1:19" x14ac:dyDescent="0.25">
      <c r="A492" s="13">
        <v>982074582</v>
      </c>
      <c r="B492" s="27" t="s">
        <v>268</v>
      </c>
      <c r="C492" s="28">
        <v>0</v>
      </c>
      <c r="D492" s="13">
        <v>390336</v>
      </c>
      <c r="E492" s="13"/>
      <c r="F492" s="13">
        <v>200</v>
      </c>
      <c r="G492" s="13">
        <v>200</v>
      </c>
      <c r="H492" s="13"/>
      <c r="I492" s="13">
        <v>200</v>
      </c>
      <c r="J492" s="13"/>
      <c r="K492" s="13">
        <v>0</v>
      </c>
      <c r="L492" s="22" t="s">
        <v>21</v>
      </c>
      <c r="M492" s="13" t="s">
        <v>320</v>
      </c>
      <c r="N492" s="13" t="str">
        <f>IFERROR(VLOOKUP($A:$A,[1]KION_IND_E_COM_LT!$A:$T,18,0),"")</f>
        <v>10/08 - A</v>
      </c>
      <c r="O492" s="14"/>
      <c r="P492" s="15">
        <f t="shared" si="7"/>
        <v>0</v>
      </c>
      <c r="Q492" s="16"/>
      <c r="R492" s="17" t="s">
        <v>3</v>
      </c>
      <c r="S492" s="13" t="s">
        <v>0</v>
      </c>
    </row>
    <row r="493" spans="1:19" x14ac:dyDescent="0.25">
      <c r="A493" s="13">
        <v>982074591</v>
      </c>
      <c r="B493" s="27" t="s">
        <v>167</v>
      </c>
      <c r="C493" s="28">
        <v>0</v>
      </c>
      <c r="D493" s="13">
        <v>390336</v>
      </c>
      <c r="E493" s="13"/>
      <c r="F493" s="13">
        <v>300</v>
      </c>
      <c r="G493" s="13">
        <v>200</v>
      </c>
      <c r="H493" s="13"/>
      <c r="I493" s="13"/>
      <c r="J493" s="13">
        <v>200</v>
      </c>
      <c r="K493" s="13">
        <v>0</v>
      </c>
      <c r="L493" s="22" t="s">
        <v>21</v>
      </c>
      <c r="M493" s="13" t="s">
        <v>320</v>
      </c>
      <c r="N493" s="13">
        <f>IFERROR(VLOOKUP($A:$A,[1]KION_IND_E_COM_LT!$A:$T,18,0),"")</f>
        <v>0</v>
      </c>
      <c r="O493" s="14"/>
      <c r="P493" s="15">
        <f t="shared" si="7"/>
        <v>0</v>
      </c>
      <c r="Q493" s="16"/>
      <c r="R493" s="17">
        <v>8</v>
      </c>
      <c r="S493" s="13" t="s">
        <v>0</v>
      </c>
    </row>
    <row r="494" spans="1:19" x14ac:dyDescent="0.25">
      <c r="A494" s="13">
        <v>982074592</v>
      </c>
      <c r="B494" s="27" t="s">
        <v>167</v>
      </c>
      <c r="C494" s="28">
        <v>0</v>
      </c>
      <c r="D494" s="13">
        <v>390336</v>
      </c>
      <c r="E494" s="13"/>
      <c r="F494" s="13">
        <v>200</v>
      </c>
      <c r="G494" s="13">
        <v>200</v>
      </c>
      <c r="H494" s="13"/>
      <c r="I494" s="13"/>
      <c r="J494" s="13"/>
      <c r="K494" s="13">
        <v>200</v>
      </c>
      <c r="L494" s="22" t="s">
        <v>21</v>
      </c>
      <c r="M494" s="13" t="s">
        <v>320</v>
      </c>
      <c r="N494" s="13">
        <f>IFERROR(VLOOKUP($A:$A,[1]KION_IND_E_COM_LT!$A:$T,18,0),"")</f>
        <v>0</v>
      </c>
      <c r="O494" s="14">
        <v>1</v>
      </c>
      <c r="P494" s="15">
        <f t="shared" si="7"/>
        <v>200</v>
      </c>
      <c r="Q494" s="16">
        <v>44081</v>
      </c>
      <c r="R494" s="17">
        <v>8</v>
      </c>
      <c r="S494" s="13" t="s">
        <v>0</v>
      </c>
    </row>
    <row r="495" spans="1:19" x14ac:dyDescent="0.25">
      <c r="A495" s="13">
        <v>982074601</v>
      </c>
      <c r="B495" s="27" t="s">
        <v>171</v>
      </c>
      <c r="C495" s="28">
        <v>2</v>
      </c>
      <c r="D495" s="13">
        <v>390336</v>
      </c>
      <c r="E495" s="13"/>
      <c r="F495" s="13">
        <v>150</v>
      </c>
      <c r="G495" s="13">
        <v>100</v>
      </c>
      <c r="H495" s="13"/>
      <c r="I495" s="13">
        <v>100</v>
      </c>
      <c r="J495" s="13"/>
      <c r="K495" s="13">
        <v>0</v>
      </c>
      <c r="L495" s="22" t="s">
        <v>21</v>
      </c>
      <c r="M495" s="13" t="s">
        <v>32</v>
      </c>
      <c r="N495" s="13">
        <f>IFERROR(VLOOKUP($A:$A,[1]KION_IND_E_COM_LT!$A:$T,18,0),"")</f>
        <v>0</v>
      </c>
      <c r="O495" s="14"/>
      <c r="P495" s="15">
        <f t="shared" si="7"/>
        <v>0</v>
      </c>
      <c r="Q495" s="16"/>
      <c r="R495" s="17">
        <v>6</v>
      </c>
      <c r="S495" s="13" t="s">
        <v>0</v>
      </c>
    </row>
    <row r="496" spans="1:19" x14ac:dyDescent="0.25">
      <c r="A496" s="13">
        <v>982074602</v>
      </c>
      <c r="B496" s="27" t="s">
        <v>171</v>
      </c>
      <c r="C496" s="28">
        <v>2</v>
      </c>
      <c r="D496" s="13">
        <v>390336</v>
      </c>
      <c r="E496" s="13"/>
      <c r="F496" s="13">
        <v>100</v>
      </c>
      <c r="G496" s="13">
        <v>100</v>
      </c>
      <c r="H496" s="13"/>
      <c r="I496" s="13"/>
      <c r="J496" s="13"/>
      <c r="K496" s="13">
        <v>100</v>
      </c>
      <c r="L496" s="22" t="s">
        <v>21</v>
      </c>
      <c r="M496" s="13" t="s">
        <v>320</v>
      </c>
      <c r="N496" s="22" t="s">
        <v>63</v>
      </c>
      <c r="O496" s="14">
        <v>1</v>
      </c>
      <c r="P496" s="15">
        <f t="shared" si="7"/>
        <v>100</v>
      </c>
      <c r="Q496" s="16">
        <v>44067</v>
      </c>
      <c r="R496" s="17">
        <v>6</v>
      </c>
      <c r="S496" s="13" t="s">
        <v>0</v>
      </c>
    </row>
    <row r="497" spans="1:19" x14ac:dyDescent="0.25">
      <c r="A497" s="13">
        <v>982074603</v>
      </c>
      <c r="B497" s="27" t="s">
        <v>171</v>
      </c>
      <c r="C497" s="28">
        <v>2</v>
      </c>
      <c r="D497" s="13">
        <v>390336</v>
      </c>
      <c r="E497" s="13"/>
      <c r="F497" s="13">
        <v>100</v>
      </c>
      <c r="G497" s="13">
        <v>100</v>
      </c>
      <c r="H497" s="13"/>
      <c r="I497" s="13"/>
      <c r="J497" s="13"/>
      <c r="K497" s="13">
        <v>100</v>
      </c>
      <c r="L497" s="22" t="s">
        <v>21</v>
      </c>
      <c r="M497" s="13" t="s">
        <v>320</v>
      </c>
      <c r="N497" s="13">
        <f>IFERROR(VLOOKUP($A:$A,[1]KION_IND_E_COM_LT!$A:$T,18,0),"")</f>
        <v>0</v>
      </c>
      <c r="O497" s="14">
        <v>1</v>
      </c>
      <c r="P497" s="15">
        <f t="shared" si="7"/>
        <v>100</v>
      </c>
      <c r="Q497" s="16">
        <v>44081</v>
      </c>
      <c r="R497" s="17">
        <v>8</v>
      </c>
      <c r="S497" s="13" t="s">
        <v>0</v>
      </c>
    </row>
    <row r="498" spans="1:19" x14ac:dyDescent="0.25">
      <c r="A498" s="13">
        <v>982074631</v>
      </c>
      <c r="B498" s="27" t="s">
        <v>225</v>
      </c>
      <c r="C498" s="28">
        <v>0</v>
      </c>
      <c r="D498" s="13">
        <v>390336</v>
      </c>
      <c r="E498" s="13"/>
      <c r="F498" s="13">
        <v>160</v>
      </c>
      <c r="G498" s="13">
        <v>100</v>
      </c>
      <c r="H498" s="13"/>
      <c r="I498" s="13"/>
      <c r="J498" s="13">
        <v>100</v>
      </c>
      <c r="K498" s="13">
        <v>0</v>
      </c>
      <c r="L498" s="22" t="s">
        <v>21</v>
      </c>
      <c r="M498" s="13" t="s">
        <v>320</v>
      </c>
      <c r="N498" s="13">
        <f>IFERROR(VLOOKUP($A:$A,[1]KION_IND_E_COM_LT!$A:$T,18,0),"")</f>
        <v>0</v>
      </c>
      <c r="O498" s="14"/>
      <c r="P498" s="15">
        <f t="shared" si="7"/>
        <v>0</v>
      </c>
      <c r="Q498" s="16"/>
      <c r="R498" s="17">
        <v>8</v>
      </c>
      <c r="S498" s="13" t="s">
        <v>0</v>
      </c>
    </row>
    <row r="499" spans="1:19" x14ac:dyDescent="0.25">
      <c r="A499" s="13">
        <v>982074632</v>
      </c>
      <c r="B499" s="27" t="s">
        <v>225</v>
      </c>
      <c r="C499" s="28">
        <v>0</v>
      </c>
      <c r="D499" s="13">
        <v>390336</v>
      </c>
      <c r="E499" s="13"/>
      <c r="F499" s="13">
        <v>100</v>
      </c>
      <c r="G499" s="13">
        <v>100</v>
      </c>
      <c r="H499" s="13"/>
      <c r="I499" s="13">
        <v>100</v>
      </c>
      <c r="J499" s="13"/>
      <c r="K499" s="13">
        <v>0</v>
      </c>
      <c r="L499" s="22" t="s">
        <v>21</v>
      </c>
      <c r="M499" s="13" t="s">
        <v>320</v>
      </c>
      <c r="N499" s="13" t="str">
        <f>IFERROR(VLOOKUP($A:$A,[1]KION_IND_E_COM_LT!$A:$T,18,0),"")</f>
        <v>10/08 - A</v>
      </c>
      <c r="O499" s="14"/>
      <c r="P499" s="15">
        <f t="shared" si="7"/>
        <v>0</v>
      </c>
      <c r="Q499" s="16"/>
      <c r="R499" s="17">
        <v>8</v>
      </c>
      <c r="S499" s="13" t="s">
        <v>0</v>
      </c>
    </row>
    <row r="500" spans="1:19" x14ac:dyDescent="0.25">
      <c r="A500" s="13">
        <v>982074633</v>
      </c>
      <c r="B500" s="27" t="s">
        <v>225</v>
      </c>
      <c r="C500" s="28">
        <v>0</v>
      </c>
      <c r="D500" s="13">
        <v>390336</v>
      </c>
      <c r="E500" s="13"/>
      <c r="F500" s="13">
        <v>100</v>
      </c>
      <c r="G500" s="13">
        <v>100</v>
      </c>
      <c r="H500" s="13"/>
      <c r="I500" s="13"/>
      <c r="J500" s="13"/>
      <c r="K500" s="13">
        <v>100</v>
      </c>
      <c r="L500" s="22" t="s">
        <v>21</v>
      </c>
      <c r="M500" s="13" t="s">
        <v>320</v>
      </c>
      <c r="N500" s="13">
        <f>IFERROR(VLOOKUP($A:$A,[1]KION_IND_E_COM_LT!$A:$T,18,0),"")</f>
        <v>0</v>
      </c>
      <c r="O500" s="14">
        <v>1</v>
      </c>
      <c r="P500" s="15">
        <f t="shared" si="7"/>
        <v>100</v>
      </c>
      <c r="Q500" s="16">
        <v>44081</v>
      </c>
      <c r="R500" s="17">
        <v>8</v>
      </c>
      <c r="S500" s="13" t="s">
        <v>0</v>
      </c>
    </row>
    <row r="501" spans="1:19" x14ac:dyDescent="0.25">
      <c r="A501" s="13">
        <v>982074641</v>
      </c>
      <c r="B501" s="27" t="s">
        <v>226</v>
      </c>
      <c r="C501" s="28">
        <v>0</v>
      </c>
      <c r="D501" s="13">
        <v>390336</v>
      </c>
      <c r="E501" s="13"/>
      <c r="F501" s="13">
        <v>160</v>
      </c>
      <c r="G501" s="13">
        <v>100</v>
      </c>
      <c r="H501" s="13"/>
      <c r="I501" s="13">
        <v>100</v>
      </c>
      <c r="J501" s="13"/>
      <c r="K501" s="13">
        <v>0</v>
      </c>
      <c r="L501" s="22" t="s">
        <v>21</v>
      </c>
      <c r="M501" s="13" t="s">
        <v>24</v>
      </c>
      <c r="N501" s="13">
        <f>IFERROR(VLOOKUP($A:$A,[1]KION_IND_E_COM_LT!$A:$T,18,0),"")</f>
        <v>0</v>
      </c>
      <c r="O501" s="14"/>
      <c r="P501" s="15">
        <f t="shared" si="7"/>
        <v>0</v>
      </c>
      <c r="Q501" s="16"/>
      <c r="R501" s="17">
        <v>8</v>
      </c>
      <c r="S501" s="13" t="s">
        <v>0</v>
      </c>
    </row>
    <row r="502" spans="1:19" x14ac:dyDescent="0.25">
      <c r="A502" s="13">
        <v>982074642</v>
      </c>
      <c r="B502" s="27" t="s">
        <v>226</v>
      </c>
      <c r="C502" s="28">
        <v>0</v>
      </c>
      <c r="D502" s="13">
        <v>390336</v>
      </c>
      <c r="E502" s="13"/>
      <c r="F502" s="13">
        <v>100</v>
      </c>
      <c r="G502" s="13">
        <v>100</v>
      </c>
      <c r="H502" s="13"/>
      <c r="I502" s="13">
        <v>100</v>
      </c>
      <c r="J502" s="13"/>
      <c r="K502" s="13">
        <v>0</v>
      </c>
      <c r="L502" s="22" t="s">
        <v>21</v>
      </c>
      <c r="M502" s="13" t="s">
        <v>320</v>
      </c>
      <c r="N502" s="13" t="str">
        <f>IFERROR(VLOOKUP($A:$A,[1]KION_IND_E_COM_LT!$A:$T,18,0),"")</f>
        <v>10/08 - A</v>
      </c>
      <c r="O502" s="14"/>
      <c r="P502" s="15">
        <f t="shared" si="7"/>
        <v>0</v>
      </c>
      <c r="Q502" s="16"/>
      <c r="R502" s="17">
        <v>8</v>
      </c>
      <c r="S502" s="13" t="s">
        <v>0</v>
      </c>
    </row>
    <row r="503" spans="1:19" x14ac:dyDescent="0.25">
      <c r="A503" s="13">
        <v>982074643</v>
      </c>
      <c r="B503" s="27" t="s">
        <v>226</v>
      </c>
      <c r="C503" s="28">
        <v>0</v>
      </c>
      <c r="D503" s="13">
        <v>390336</v>
      </c>
      <c r="E503" s="13"/>
      <c r="F503" s="13">
        <v>100</v>
      </c>
      <c r="G503" s="13">
        <v>100</v>
      </c>
      <c r="H503" s="13"/>
      <c r="I503" s="13"/>
      <c r="J503" s="13"/>
      <c r="K503" s="13">
        <v>100</v>
      </c>
      <c r="L503" s="22" t="s">
        <v>21</v>
      </c>
      <c r="M503" s="13" t="s">
        <v>320</v>
      </c>
      <c r="N503" s="13">
        <f>IFERROR(VLOOKUP($A:$A,[1]KION_IND_E_COM_LT!$A:$T,18,0),"")</f>
        <v>0</v>
      </c>
      <c r="O503" s="14">
        <v>1</v>
      </c>
      <c r="P503" s="15">
        <f t="shared" si="7"/>
        <v>100</v>
      </c>
      <c r="Q503" s="16">
        <v>44081</v>
      </c>
      <c r="R503" s="17">
        <v>8</v>
      </c>
      <c r="S503" s="13" t="s">
        <v>0</v>
      </c>
    </row>
    <row r="504" spans="1:19" x14ac:dyDescent="0.25">
      <c r="A504" s="13">
        <v>982074651</v>
      </c>
      <c r="B504" s="27" t="s">
        <v>250</v>
      </c>
      <c r="C504" s="28">
        <v>1</v>
      </c>
      <c r="D504" s="13">
        <v>390336</v>
      </c>
      <c r="E504" s="13"/>
      <c r="F504" s="13">
        <v>300</v>
      </c>
      <c r="G504" s="13">
        <v>300</v>
      </c>
      <c r="H504" s="13"/>
      <c r="I504" s="13">
        <v>300</v>
      </c>
      <c r="J504" s="13"/>
      <c r="K504" s="13">
        <v>0</v>
      </c>
      <c r="L504" s="22" t="s">
        <v>21</v>
      </c>
      <c r="M504" s="13" t="s">
        <v>26</v>
      </c>
      <c r="N504" s="13" t="str">
        <f>IFERROR(VLOOKUP($A:$A,[1]KION_IND_E_COM_LT!$A:$T,18,0),"")</f>
        <v>07/08 - A</v>
      </c>
      <c r="O504" s="14"/>
      <c r="P504" s="15">
        <f t="shared" si="7"/>
        <v>0</v>
      </c>
      <c r="Q504" s="16"/>
      <c r="R504" s="17">
        <v>8</v>
      </c>
      <c r="S504" s="13" t="s">
        <v>0</v>
      </c>
    </row>
    <row r="505" spans="1:19" x14ac:dyDescent="0.25">
      <c r="A505" s="13">
        <v>982074652</v>
      </c>
      <c r="B505" s="27" t="s">
        <v>250</v>
      </c>
      <c r="C505" s="28">
        <v>1</v>
      </c>
      <c r="D505" s="13">
        <v>390336</v>
      </c>
      <c r="E505" s="13"/>
      <c r="F505" s="13">
        <v>210</v>
      </c>
      <c r="G505" s="13">
        <v>210</v>
      </c>
      <c r="H505" s="13"/>
      <c r="I505" s="13"/>
      <c r="J505" s="13"/>
      <c r="K505" s="13">
        <v>210</v>
      </c>
      <c r="L505" s="22" t="s">
        <v>21</v>
      </c>
      <c r="M505" s="13" t="s">
        <v>60</v>
      </c>
      <c r="N505" s="13">
        <f>IFERROR(VLOOKUP($A:$A,[1]KION_IND_E_COM_LT!$A:$T,18,0),"")</f>
        <v>0</v>
      </c>
      <c r="O505" s="14">
        <v>1</v>
      </c>
      <c r="P505" s="15">
        <f t="shared" si="7"/>
        <v>210</v>
      </c>
      <c r="Q505" s="16">
        <v>44081</v>
      </c>
      <c r="R505" s="17">
        <v>8</v>
      </c>
      <c r="S505" s="13" t="s">
        <v>0</v>
      </c>
    </row>
    <row r="506" spans="1:19" x14ac:dyDescent="0.25">
      <c r="A506" s="13">
        <v>982074661</v>
      </c>
      <c r="B506" s="27" t="s">
        <v>166</v>
      </c>
      <c r="C506" s="28">
        <v>2</v>
      </c>
      <c r="D506" s="13">
        <v>390336</v>
      </c>
      <c r="E506" s="13"/>
      <c r="F506" s="13">
        <v>150</v>
      </c>
      <c r="G506" s="13">
        <v>150</v>
      </c>
      <c r="H506" s="13"/>
      <c r="I506" s="13"/>
      <c r="J506" s="13"/>
      <c r="K506" s="13">
        <v>150</v>
      </c>
      <c r="L506" s="22" t="s">
        <v>21</v>
      </c>
      <c r="M506" s="13" t="s">
        <v>320</v>
      </c>
      <c r="N506" s="22" t="s">
        <v>64</v>
      </c>
      <c r="O506" s="14">
        <v>1</v>
      </c>
      <c r="P506" s="15">
        <f t="shared" si="7"/>
        <v>150</v>
      </c>
      <c r="Q506" s="16">
        <v>44060</v>
      </c>
      <c r="R506" s="17">
        <v>5</v>
      </c>
      <c r="S506" s="13" t="s">
        <v>0</v>
      </c>
    </row>
    <row r="507" spans="1:19" x14ac:dyDescent="0.25">
      <c r="A507" s="13">
        <v>982074662</v>
      </c>
      <c r="B507" s="27" t="s">
        <v>166</v>
      </c>
      <c r="C507" s="28">
        <v>2</v>
      </c>
      <c r="D507" s="13">
        <v>390336</v>
      </c>
      <c r="E507" s="13"/>
      <c r="F507" s="13">
        <v>100</v>
      </c>
      <c r="G507" s="13">
        <v>100</v>
      </c>
      <c r="H507" s="13"/>
      <c r="I507" s="13"/>
      <c r="J507" s="13"/>
      <c r="K507" s="13">
        <v>100</v>
      </c>
      <c r="L507" s="22" t="s">
        <v>21</v>
      </c>
      <c r="M507" s="13" t="s">
        <v>320</v>
      </c>
      <c r="N507" s="13">
        <f>IFERROR(VLOOKUP($A:$A,[1]KION_IND_E_COM_LT!$A:$T,18,0),"")</f>
        <v>0</v>
      </c>
      <c r="O507" s="14">
        <v>1</v>
      </c>
      <c r="P507" s="15">
        <f t="shared" si="7"/>
        <v>100</v>
      </c>
      <c r="Q507" s="16">
        <v>44081</v>
      </c>
      <c r="R507" s="17">
        <v>8</v>
      </c>
      <c r="S507" s="13" t="s">
        <v>0</v>
      </c>
    </row>
    <row r="508" spans="1:19" x14ac:dyDescent="0.25">
      <c r="A508" s="13">
        <v>982074681</v>
      </c>
      <c r="B508" s="27" t="s">
        <v>168</v>
      </c>
      <c r="C508" s="28">
        <v>0</v>
      </c>
      <c r="D508" s="13">
        <v>390336</v>
      </c>
      <c r="E508" s="13"/>
      <c r="F508" s="13">
        <v>150</v>
      </c>
      <c r="G508" s="13">
        <v>100</v>
      </c>
      <c r="H508" s="13"/>
      <c r="I508" s="13"/>
      <c r="J508" s="13">
        <v>100</v>
      </c>
      <c r="K508" s="13">
        <v>0</v>
      </c>
      <c r="L508" s="22" t="s">
        <v>21</v>
      </c>
      <c r="M508" s="13" t="s">
        <v>320</v>
      </c>
      <c r="N508" s="13">
        <f>IFERROR(VLOOKUP($A:$A,[1]KION_IND_E_COM_LT!$A:$T,18,0),"")</f>
        <v>0</v>
      </c>
      <c r="O508" s="14"/>
      <c r="P508" s="15">
        <f t="shared" si="7"/>
        <v>0</v>
      </c>
      <c r="Q508" s="16"/>
      <c r="R508" s="17">
        <v>8</v>
      </c>
      <c r="S508" s="13" t="s">
        <v>0</v>
      </c>
    </row>
    <row r="509" spans="1:19" x14ac:dyDescent="0.25">
      <c r="A509" s="13">
        <v>982074682</v>
      </c>
      <c r="B509" s="27" t="s">
        <v>168</v>
      </c>
      <c r="C509" s="28">
        <v>0</v>
      </c>
      <c r="D509" s="13">
        <v>390336</v>
      </c>
      <c r="E509" s="13"/>
      <c r="F509" s="13">
        <v>100</v>
      </c>
      <c r="G509" s="13">
        <v>100</v>
      </c>
      <c r="H509" s="13"/>
      <c r="I509" s="13">
        <v>100</v>
      </c>
      <c r="J509" s="13"/>
      <c r="K509" s="13">
        <v>0</v>
      </c>
      <c r="L509" s="22" t="s">
        <v>21</v>
      </c>
      <c r="M509" s="13" t="s">
        <v>320</v>
      </c>
      <c r="N509" s="13" t="str">
        <f>IFERROR(VLOOKUP($A:$A,[1]KION_IND_E_COM_LT!$A:$T,18,0),"")</f>
        <v>10/08 - A</v>
      </c>
      <c r="O509" s="14"/>
      <c r="P509" s="15">
        <f t="shared" si="7"/>
        <v>0</v>
      </c>
      <c r="Q509" s="16"/>
      <c r="R509" s="17">
        <v>8</v>
      </c>
      <c r="S509" s="13" t="s">
        <v>0</v>
      </c>
    </row>
    <row r="510" spans="1:19" x14ac:dyDescent="0.25">
      <c r="A510" s="13">
        <v>982074683</v>
      </c>
      <c r="B510" s="27" t="s">
        <v>168</v>
      </c>
      <c r="C510" s="28">
        <v>0</v>
      </c>
      <c r="D510" s="13">
        <v>390336</v>
      </c>
      <c r="E510" s="13"/>
      <c r="F510" s="13">
        <v>100</v>
      </c>
      <c r="G510" s="13">
        <v>100</v>
      </c>
      <c r="H510" s="13"/>
      <c r="I510" s="13"/>
      <c r="J510" s="13"/>
      <c r="K510" s="13">
        <v>100</v>
      </c>
      <c r="L510" s="22" t="s">
        <v>21</v>
      </c>
      <c r="M510" s="13" t="s">
        <v>320</v>
      </c>
      <c r="N510" s="13">
        <f>IFERROR(VLOOKUP($A:$A,[1]KION_IND_E_COM_LT!$A:$T,18,0),"")</f>
        <v>0</v>
      </c>
      <c r="O510" s="14">
        <v>1</v>
      </c>
      <c r="P510" s="15">
        <f t="shared" si="7"/>
        <v>100</v>
      </c>
      <c r="Q510" s="16">
        <v>44081</v>
      </c>
      <c r="R510" s="17">
        <v>8</v>
      </c>
      <c r="S510" s="13" t="s">
        <v>0</v>
      </c>
    </row>
    <row r="511" spans="1:19" x14ac:dyDescent="0.25">
      <c r="A511" s="13">
        <v>982074691</v>
      </c>
      <c r="B511" s="27" t="s">
        <v>169</v>
      </c>
      <c r="C511" s="28">
        <v>0</v>
      </c>
      <c r="D511" s="13">
        <v>390336</v>
      </c>
      <c r="E511" s="13"/>
      <c r="F511" s="13">
        <v>150</v>
      </c>
      <c r="G511" s="13">
        <v>100</v>
      </c>
      <c r="H511" s="13"/>
      <c r="I511" s="13"/>
      <c r="J511" s="13">
        <v>100</v>
      </c>
      <c r="K511" s="13">
        <v>0</v>
      </c>
      <c r="L511" s="22" t="s">
        <v>21</v>
      </c>
      <c r="M511" s="13" t="s">
        <v>320</v>
      </c>
      <c r="N511" s="13">
        <f>IFERROR(VLOOKUP($A:$A,[1]KION_IND_E_COM_LT!$A:$T,18,0),"")</f>
        <v>0</v>
      </c>
      <c r="O511" s="14"/>
      <c r="P511" s="15">
        <f t="shared" si="7"/>
        <v>0</v>
      </c>
      <c r="Q511" s="16"/>
      <c r="R511" s="17">
        <v>8</v>
      </c>
      <c r="S511" s="13" t="s">
        <v>0</v>
      </c>
    </row>
    <row r="512" spans="1:19" x14ac:dyDescent="0.25">
      <c r="A512" s="13">
        <v>982074692</v>
      </c>
      <c r="B512" s="27" t="s">
        <v>169</v>
      </c>
      <c r="C512" s="28">
        <v>0</v>
      </c>
      <c r="D512" s="13">
        <v>390336</v>
      </c>
      <c r="E512" s="13"/>
      <c r="F512" s="13">
        <v>100</v>
      </c>
      <c r="G512" s="13">
        <v>100</v>
      </c>
      <c r="H512" s="13"/>
      <c r="I512" s="13">
        <v>100</v>
      </c>
      <c r="J512" s="13"/>
      <c r="K512" s="13">
        <v>0</v>
      </c>
      <c r="L512" s="22" t="s">
        <v>21</v>
      </c>
      <c r="M512" s="13" t="s">
        <v>320</v>
      </c>
      <c r="N512" s="13" t="str">
        <f>IFERROR(VLOOKUP($A:$A,[1]KION_IND_E_COM_LT!$A:$T,18,0),"")</f>
        <v>10/08 - A</v>
      </c>
      <c r="O512" s="14"/>
      <c r="P512" s="15">
        <f t="shared" si="7"/>
        <v>0</v>
      </c>
      <c r="Q512" s="16"/>
      <c r="R512" s="17">
        <v>8</v>
      </c>
      <c r="S512" s="13" t="s">
        <v>0</v>
      </c>
    </row>
    <row r="513" spans="1:19" x14ac:dyDescent="0.25">
      <c r="A513" s="13">
        <v>982074693</v>
      </c>
      <c r="B513" s="27" t="s">
        <v>169</v>
      </c>
      <c r="C513" s="28">
        <v>0</v>
      </c>
      <c r="D513" s="13">
        <v>390336</v>
      </c>
      <c r="E513" s="13"/>
      <c r="F513" s="13">
        <v>100</v>
      </c>
      <c r="G513" s="13">
        <v>100</v>
      </c>
      <c r="H513" s="13"/>
      <c r="I513" s="13"/>
      <c r="J513" s="13"/>
      <c r="K513" s="13">
        <v>100</v>
      </c>
      <c r="L513" s="22" t="s">
        <v>21</v>
      </c>
      <c r="M513" s="13" t="s">
        <v>320</v>
      </c>
      <c r="N513" s="13">
        <f>IFERROR(VLOOKUP($A:$A,[1]KION_IND_E_COM_LT!$A:$T,18,0),"")</f>
        <v>0</v>
      </c>
      <c r="O513" s="14">
        <v>1</v>
      </c>
      <c r="P513" s="15">
        <f t="shared" si="7"/>
        <v>100</v>
      </c>
      <c r="Q513" s="16">
        <v>44081</v>
      </c>
      <c r="R513" s="17">
        <v>8</v>
      </c>
      <c r="S513" s="13" t="s">
        <v>0</v>
      </c>
    </row>
    <row r="514" spans="1:19" x14ac:dyDescent="0.25">
      <c r="A514" s="13">
        <v>982074701</v>
      </c>
      <c r="B514" s="27" t="s">
        <v>170</v>
      </c>
      <c r="C514" s="28">
        <v>3</v>
      </c>
      <c r="D514" s="13">
        <v>390336</v>
      </c>
      <c r="E514" s="13"/>
      <c r="F514" s="13">
        <v>150</v>
      </c>
      <c r="G514" s="13">
        <v>150</v>
      </c>
      <c r="H514" s="13"/>
      <c r="I514" s="13"/>
      <c r="J514" s="13"/>
      <c r="K514" s="13">
        <v>150</v>
      </c>
      <c r="L514" s="22" t="s">
        <v>21</v>
      </c>
      <c r="M514" s="13" t="s">
        <v>320</v>
      </c>
      <c r="N514" s="13">
        <f>IFERROR(VLOOKUP($A:$A,[1]KION_IND_E_COM_LT!$A:$T,18,0),"")</f>
        <v>0</v>
      </c>
      <c r="O514" s="14">
        <v>1</v>
      </c>
      <c r="P514" s="15">
        <f t="shared" si="7"/>
        <v>150</v>
      </c>
      <c r="Q514" s="16">
        <v>44060</v>
      </c>
      <c r="R514" s="17">
        <v>5</v>
      </c>
      <c r="S514" s="13" t="s">
        <v>0</v>
      </c>
    </row>
    <row r="515" spans="1:19" x14ac:dyDescent="0.25">
      <c r="A515" s="13">
        <v>982074702</v>
      </c>
      <c r="B515" s="27" t="s">
        <v>170</v>
      </c>
      <c r="C515" s="28">
        <v>3</v>
      </c>
      <c r="D515" s="13">
        <v>390336</v>
      </c>
      <c r="E515" s="13"/>
      <c r="F515" s="13">
        <v>100</v>
      </c>
      <c r="G515" s="13">
        <v>100</v>
      </c>
      <c r="H515" s="13"/>
      <c r="I515" s="13"/>
      <c r="J515" s="13"/>
      <c r="K515" s="13">
        <v>100</v>
      </c>
      <c r="L515" s="22" t="s">
        <v>21</v>
      </c>
      <c r="M515" s="13" t="s">
        <v>320</v>
      </c>
      <c r="N515" s="13">
        <f>IFERROR(VLOOKUP($A:$A,[1]KION_IND_E_COM_LT!$A:$T,18,0),"")</f>
        <v>0</v>
      </c>
      <c r="O515" s="14">
        <v>1</v>
      </c>
      <c r="P515" s="15">
        <f t="shared" ref="P515:P578" si="8">K515*O515</f>
        <v>100</v>
      </c>
      <c r="Q515" s="16">
        <v>44081</v>
      </c>
      <c r="R515" s="17">
        <v>8</v>
      </c>
      <c r="S515" s="13" t="s">
        <v>0</v>
      </c>
    </row>
    <row r="516" spans="1:19" x14ac:dyDescent="0.25">
      <c r="A516" s="13">
        <v>982074703</v>
      </c>
      <c r="B516" s="27" t="s">
        <v>170</v>
      </c>
      <c r="C516" s="28">
        <v>3</v>
      </c>
      <c r="D516" s="13">
        <v>390336</v>
      </c>
      <c r="E516" s="13"/>
      <c r="F516" s="13">
        <v>50</v>
      </c>
      <c r="G516" s="13">
        <v>50</v>
      </c>
      <c r="H516" s="13"/>
      <c r="I516" s="13"/>
      <c r="J516" s="13"/>
      <c r="K516" s="13">
        <v>50</v>
      </c>
      <c r="L516" s="22" t="s">
        <v>21</v>
      </c>
      <c r="M516" s="13" t="s">
        <v>320</v>
      </c>
      <c r="N516" s="13">
        <f>IFERROR(VLOOKUP($A:$A,[1]KION_IND_E_COM_LT!$A:$T,18,0),"")</f>
        <v>0</v>
      </c>
      <c r="O516" s="14">
        <v>1</v>
      </c>
      <c r="P516" s="15">
        <f t="shared" si="8"/>
        <v>50</v>
      </c>
      <c r="Q516" s="16">
        <v>44088</v>
      </c>
      <c r="R516" s="17">
        <v>9</v>
      </c>
      <c r="S516" s="13" t="s">
        <v>0</v>
      </c>
    </row>
    <row r="517" spans="1:19" x14ac:dyDescent="0.25">
      <c r="A517" s="13">
        <v>982074721</v>
      </c>
      <c r="B517" s="27" t="s">
        <v>180</v>
      </c>
      <c r="C517" s="28">
        <v>0</v>
      </c>
      <c r="D517" s="13">
        <v>390336</v>
      </c>
      <c r="E517" s="13"/>
      <c r="F517" s="13">
        <v>150</v>
      </c>
      <c r="G517" s="13">
        <v>150</v>
      </c>
      <c r="H517" s="13"/>
      <c r="I517" s="13">
        <v>150</v>
      </c>
      <c r="J517" s="13"/>
      <c r="K517" s="13">
        <v>0</v>
      </c>
      <c r="L517" s="22" t="s">
        <v>21</v>
      </c>
      <c r="M517" s="13" t="s">
        <v>25</v>
      </c>
      <c r="N517" s="13">
        <f>IFERROR(VLOOKUP($A:$A,[1]KION_IND_E_COM_LT!$A:$T,18,0),"")</f>
        <v>0</v>
      </c>
      <c r="O517" s="14"/>
      <c r="P517" s="15">
        <f t="shared" si="8"/>
        <v>0</v>
      </c>
      <c r="Q517" s="16"/>
      <c r="R517" s="17">
        <v>8</v>
      </c>
      <c r="S517" s="13" t="s">
        <v>0</v>
      </c>
    </row>
    <row r="518" spans="1:19" x14ac:dyDescent="0.25">
      <c r="A518" s="13">
        <v>982074722</v>
      </c>
      <c r="B518" s="27" t="s">
        <v>180</v>
      </c>
      <c r="C518" s="28">
        <v>0</v>
      </c>
      <c r="D518" s="13">
        <v>390336</v>
      </c>
      <c r="E518" s="13"/>
      <c r="F518" s="13">
        <v>100</v>
      </c>
      <c r="G518" s="13">
        <v>100</v>
      </c>
      <c r="H518" s="13"/>
      <c r="I518" s="13">
        <v>100</v>
      </c>
      <c r="J518" s="13"/>
      <c r="K518" s="13">
        <v>0</v>
      </c>
      <c r="L518" s="22" t="s">
        <v>21</v>
      </c>
      <c r="M518" s="13" t="s">
        <v>320</v>
      </c>
      <c r="N518" s="13" t="str">
        <f>IFERROR(VLOOKUP($A:$A,[1]KION_IND_E_COM_LT!$A:$T,18,0),"")</f>
        <v>10/08 - A</v>
      </c>
      <c r="O518" s="14"/>
      <c r="P518" s="15">
        <f t="shared" si="8"/>
        <v>0</v>
      </c>
      <c r="Q518" s="16"/>
      <c r="R518" s="17">
        <v>8</v>
      </c>
      <c r="S518" s="13" t="s">
        <v>0</v>
      </c>
    </row>
    <row r="519" spans="1:19" x14ac:dyDescent="0.25">
      <c r="A519" s="13">
        <v>982074723</v>
      </c>
      <c r="B519" s="27" t="s">
        <v>180</v>
      </c>
      <c r="C519" s="28">
        <v>0</v>
      </c>
      <c r="D519" s="13">
        <v>390336</v>
      </c>
      <c r="E519" s="13"/>
      <c r="F519" s="13">
        <v>100</v>
      </c>
      <c r="G519" s="13">
        <v>100</v>
      </c>
      <c r="H519" s="13"/>
      <c r="I519" s="13"/>
      <c r="J519" s="13"/>
      <c r="K519" s="13">
        <v>100</v>
      </c>
      <c r="L519" s="22" t="s">
        <v>21</v>
      </c>
      <c r="M519" s="13" t="s">
        <v>320</v>
      </c>
      <c r="N519" s="13">
        <f>IFERROR(VLOOKUP($A:$A,[1]KION_IND_E_COM_LT!$A:$T,18,0),"")</f>
        <v>0</v>
      </c>
      <c r="O519" s="14">
        <v>1</v>
      </c>
      <c r="P519" s="15">
        <f t="shared" si="8"/>
        <v>100</v>
      </c>
      <c r="Q519" s="16">
        <v>44081</v>
      </c>
      <c r="R519" s="17">
        <v>8</v>
      </c>
      <c r="S519" s="13" t="s">
        <v>0</v>
      </c>
    </row>
    <row r="520" spans="1:19" x14ac:dyDescent="0.25">
      <c r="A520" s="13">
        <v>982074761</v>
      </c>
      <c r="B520" s="27" t="s">
        <v>266</v>
      </c>
      <c r="C520" s="28">
        <v>0</v>
      </c>
      <c r="D520" s="13">
        <v>390336</v>
      </c>
      <c r="E520" s="13"/>
      <c r="F520" s="13">
        <v>250</v>
      </c>
      <c r="G520" s="13">
        <v>250</v>
      </c>
      <c r="H520" s="13"/>
      <c r="I520" s="13"/>
      <c r="J520" s="13"/>
      <c r="K520" s="13">
        <v>250</v>
      </c>
      <c r="L520" s="22" t="s">
        <v>21</v>
      </c>
      <c r="M520" s="13" t="s">
        <v>320</v>
      </c>
      <c r="N520" s="13">
        <f>IFERROR(VLOOKUP($A:$A,[1]KION_IND_E_COM_LT!$A:$T,18,0),"")</f>
        <v>0</v>
      </c>
      <c r="O520" s="14">
        <v>1</v>
      </c>
      <c r="P520" s="15">
        <f t="shared" si="8"/>
        <v>250</v>
      </c>
      <c r="Q520" s="16">
        <v>44067</v>
      </c>
      <c r="R520" s="17">
        <v>6</v>
      </c>
      <c r="S520" s="13" t="s">
        <v>0</v>
      </c>
    </row>
    <row r="521" spans="1:19" x14ac:dyDescent="0.25">
      <c r="A521" s="13">
        <v>982074762</v>
      </c>
      <c r="B521" s="27" t="s">
        <v>266</v>
      </c>
      <c r="C521" s="28">
        <v>0</v>
      </c>
      <c r="D521" s="13">
        <v>390336</v>
      </c>
      <c r="E521" s="13"/>
      <c r="F521" s="13">
        <v>200</v>
      </c>
      <c r="G521" s="13">
        <v>200</v>
      </c>
      <c r="H521" s="13"/>
      <c r="I521" s="13"/>
      <c r="J521" s="13"/>
      <c r="K521" s="13">
        <v>200</v>
      </c>
      <c r="L521" s="13"/>
      <c r="M521" s="13" t="s">
        <v>23</v>
      </c>
      <c r="N521" s="13">
        <f>IFERROR(VLOOKUP($A:$A,[1]KION_IND_E_COM_LT!$A:$T,18,0),"")</f>
        <v>0</v>
      </c>
      <c r="O521" s="14">
        <v>1</v>
      </c>
      <c r="P521" s="15">
        <f t="shared" si="8"/>
        <v>200</v>
      </c>
      <c r="Q521" s="16">
        <v>44088</v>
      </c>
      <c r="R521" s="17">
        <v>9</v>
      </c>
      <c r="S521" s="13" t="s">
        <v>0</v>
      </c>
    </row>
    <row r="522" spans="1:19" x14ac:dyDescent="0.25">
      <c r="A522" s="13">
        <v>982074763</v>
      </c>
      <c r="B522" s="27" t="s">
        <v>266</v>
      </c>
      <c r="C522" s="28">
        <v>0</v>
      </c>
      <c r="D522" s="13">
        <v>390336</v>
      </c>
      <c r="E522" s="13"/>
      <c r="F522" s="13">
        <v>200</v>
      </c>
      <c r="G522" s="13">
        <v>200</v>
      </c>
      <c r="H522" s="13"/>
      <c r="I522" s="13"/>
      <c r="J522" s="13"/>
      <c r="K522" s="13">
        <v>200</v>
      </c>
      <c r="L522" s="13"/>
      <c r="M522" s="13" t="s">
        <v>23</v>
      </c>
      <c r="N522" s="13">
        <f>IFERROR(VLOOKUP($A:$A,[1]KION_IND_E_COM_LT!$A:$T,18,0),"")</f>
        <v>0</v>
      </c>
      <c r="O522" s="14">
        <v>1</v>
      </c>
      <c r="P522" s="15">
        <f t="shared" si="8"/>
        <v>200</v>
      </c>
      <c r="Q522" s="16">
        <v>44109</v>
      </c>
      <c r="R522" s="17">
        <v>12</v>
      </c>
      <c r="S522" s="13" t="s">
        <v>0</v>
      </c>
    </row>
    <row r="523" spans="1:19" x14ac:dyDescent="0.25">
      <c r="A523" s="13">
        <v>982074841</v>
      </c>
      <c r="B523" s="27" t="s">
        <v>277</v>
      </c>
      <c r="C523" s="29">
        <v>2</v>
      </c>
      <c r="D523" s="13">
        <v>390336</v>
      </c>
      <c r="E523" s="13"/>
      <c r="F523" s="13">
        <v>250</v>
      </c>
      <c r="G523" s="13">
        <v>250</v>
      </c>
      <c r="H523" s="13"/>
      <c r="I523" s="13"/>
      <c r="J523" s="13"/>
      <c r="K523" s="13">
        <v>250</v>
      </c>
      <c r="L523" s="22" t="s">
        <v>21</v>
      </c>
      <c r="M523" s="22"/>
      <c r="N523" s="13">
        <f>IFERROR(VLOOKUP($A:$A,[1]KION_IND_E_COM_LT!$A:$T,18,0),"")</f>
        <v>0</v>
      </c>
      <c r="O523" s="14">
        <v>1</v>
      </c>
      <c r="P523" s="15">
        <f t="shared" si="8"/>
        <v>250</v>
      </c>
      <c r="Q523" s="16">
        <v>44067</v>
      </c>
      <c r="R523" s="17">
        <v>6</v>
      </c>
      <c r="S523" s="13" t="s">
        <v>0</v>
      </c>
    </row>
    <row r="524" spans="1:19" x14ac:dyDescent="0.25">
      <c r="A524" s="13">
        <v>982074842</v>
      </c>
      <c r="B524" s="27" t="s">
        <v>277</v>
      </c>
      <c r="C524" s="28">
        <v>2</v>
      </c>
      <c r="D524" s="13">
        <v>390336</v>
      </c>
      <c r="E524" s="13"/>
      <c r="F524" s="13">
        <v>200</v>
      </c>
      <c r="G524" s="13">
        <v>200</v>
      </c>
      <c r="H524" s="13"/>
      <c r="I524" s="13"/>
      <c r="J524" s="13"/>
      <c r="K524" s="13">
        <v>200</v>
      </c>
      <c r="L524" s="22" t="s">
        <v>21</v>
      </c>
      <c r="M524" s="22"/>
      <c r="N524" s="13">
        <f>IFERROR(VLOOKUP($A:$A,[1]KION_IND_E_COM_LT!$A:$T,18,0),"")</f>
        <v>0</v>
      </c>
      <c r="O524" s="14">
        <v>1</v>
      </c>
      <c r="P524" s="15">
        <f t="shared" si="8"/>
        <v>200</v>
      </c>
      <c r="Q524" s="16">
        <v>44088</v>
      </c>
      <c r="R524" s="17">
        <v>9</v>
      </c>
      <c r="S524" s="13" t="s">
        <v>0</v>
      </c>
    </row>
    <row r="525" spans="1:19" x14ac:dyDescent="0.25">
      <c r="A525" s="13">
        <v>982074843</v>
      </c>
      <c r="B525" s="27" t="s">
        <v>277</v>
      </c>
      <c r="C525" s="28">
        <v>2</v>
      </c>
      <c r="D525" s="13">
        <v>390336</v>
      </c>
      <c r="E525" s="13"/>
      <c r="F525" s="13">
        <v>200</v>
      </c>
      <c r="G525" s="13">
        <v>200</v>
      </c>
      <c r="H525" s="13"/>
      <c r="I525" s="13"/>
      <c r="J525" s="13"/>
      <c r="K525" s="13">
        <v>200</v>
      </c>
      <c r="L525" s="13"/>
      <c r="M525" s="13" t="s">
        <v>23</v>
      </c>
      <c r="N525" s="13">
        <f>IFERROR(VLOOKUP($A:$A,[1]KION_IND_E_COM_LT!$A:$T,18,0),"")</f>
        <v>0</v>
      </c>
      <c r="O525" s="14">
        <v>1</v>
      </c>
      <c r="P525" s="15">
        <f t="shared" si="8"/>
        <v>200</v>
      </c>
      <c r="Q525" s="16">
        <v>44109</v>
      </c>
      <c r="R525" s="17">
        <v>12</v>
      </c>
      <c r="S525" s="13" t="s">
        <v>0</v>
      </c>
    </row>
    <row r="526" spans="1:19" x14ac:dyDescent="0.25">
      <c r="A526" s="13">
        <v>982074901</v>
      </c>
      <c r="B526" s="27" t="s">
        <v>292</v>
      </c>
      <c r="C526" s="28">
        <v>3</v>
      </c>
      <c r="D526" s="13">
        <v>390337</v>
      </c>
      <c r="E526" s="13"/>
      <c r="F526" s="13">
        <v>120</v>
      </c>
      <c r="G526" s="13">
        <v>120</v>
      </c>
      <c r="H526" s="13"/>
      <c r="I526" s="13"/>
      <c r="J526" s="13"/>
      <c r="K526" s="13">
        <v>120</v>
      </c>
      <c r="L526" s="13"/>
      <c r="M526" s="13" t="s">
        <v>23</v>
      </c>
      <c r="N526" s="13">
        <f>IFERROR(VLOOKUP($A:$A,[1]KION_IND_E_COM_LT!$A:$T,18,0),"")</f>
        <v>0</v>
      </c>
      <c r="O526" s="14">
        <v>1</v>
      </c>
      <c r="P526" s="15">
        <f t="shared" si="8"/>
        <v>120</v>
      </c>
      <c r="Q526" s="16" t="s">
        <v>3</v>
      </c>
      <c r="R526" s="17" t="s">
        <v>3</v>
      </c>
      <c r="S526" s="13" t="s">
        <v>0</v>
      </c>
    </row>
    <row r="527" spans="1:19" x14ac:dyDescent="0.25">
      <c r="A527" s="13">
        <v>982074911</v>
      </c>
      <c r="B527" s="27" t="s">
        <v>302</v>
      </c>
      <c r="C527" s="28">
        <v>0</v>
      </c>
      <c r="D527" s="13">
        <v>390337</v>
      </c>
      <c r="E527" s="13"/>
      <c r="F527" s="13">
        <v>300</v>
      </c>
      <c r="G527" s="13">
        <v>300</v>
      </c>
      <c r="H527" s="13"/>
      <c r="I527" s="13"/>
      <c r="J527" s="13"/>
      <c r="K527" s="13">
        <v>300</v>
      </c>
      <c r="L527" s="22" t="s">
        <v>21</v>
      </c>
      <c r="M527" s="13" t="s">
        <v>60</v>
      </c>
      <c r="N527" s="13">
        <f>IFERROR(VLOOKUP($A:$A,[1]KION_IND_E_COM_LT!$A:$T,18,0),"")</f>
        <v>0</v>
      </c>
      <c r="O527" s="14">
        <v>1</v>
      </c>
      <c r="P527" s="15">
        <f t="shared" si="8"/>
        <v>300</v>
      </c>
      <c r="Q527" s="16">
        <v>44081</v>
      </c>
      <c r="R527" s="17">
        <v>8</v>
      </c>
      <c r="S527" s="13" t="s">
        <v>0</v>
      </c>
    </row>
    <row r="528" spans="1:19" x14ac:dyDescent="0.25">
      <c r="A528" s="13">
        <v>982074912</v>
      </c>
      <c r="B528" s="27" t="s">
        <v>302</v>
      </c>
      <c r="C528" s="28">
        <v>0</v>
      </c>
      <c r="D528" s="13">
        <v>390337</v>
      </c>
      <c r="E528" s="13"/>
      <c r="F528" s="13">
        <v>300</v>
      </c>
      <c r="G528" s="13">
        <v>300</v>
      </c>
      <c r="H528" s="13"/>
      <c r="I528" s="13"/>
      <c r="J528" s="13"/>
      <c r="K528" s="13">
        <v>300</v>
      </c>
      <c r="L528" s="13"/>
      <c r="M528" s="13" t="s">
        <v>23</v>
      </c>
      <c r="N528" s="13">
        <f>IFERROR(VLOOKUP($A:$A,[1]KION_IND_E_COM_LT!$A:$T,18,0),"")</f>
        <v>0</v>
      </c>
      <c r="O528" s="14">
        <v>1</v>
      </c>
      <c r="P528" s="15">
        <f t="shared" si="8"/>
        <v>300</v>
      </c>
      <c r="Q528" s="16">
        <v>44081</v>
      </c>
      <c r="R528" s="17">
        <v>8</v>
      </c>
      <c r="S528" s="13" t="s">
        <v>0</v>
      </c>
    </row>
    <row r="529" spans="1:19" x14ac:dyDescent="0.25">
      <c r="A529" s="13">
        <v>982074913</v>
      </c>
      <c r="B529" s="27" t="s">
        <v>302</v>
      </c>
      <c r="C529" s="28">
        <v>0</v>
      </c>
      <c r="D529" s="13">
        <v>390337</v>
      </c>
      <c r="E529" s="13"/>
      <c r="F529" s="13">
        <v>300</v>
      </c>
      <c r="G529" s="13">
        <v>300</v>
      </c>
      <c r="H529" s="13"/>
      <c r="I529" s="13"/>
      <c r="J529" s="13"/>
      <c r="K529" s="13">
        <v>300</v>
      </c>
      <c r="L529" s="13"/>
      <c r="M529" s="13" t="s">
        <v>23</v>
      </c>
      <c r="N529" s="13">
        <f>IFERROR(VLOOKUP($A:$A,[1]KION_IND_E_COM_LT!$A:$T,18,0),"")</f>
        <v>0</v>
      </c>
      <c r="O529" s="14">
        <v>1</v>
      </c>
      <c r="P529" s="15">
        <f t="shared" si="8"/>
        <v>300</v>
      </c>
      <c r="Q529" s="16">
        <v>44095</v>
      </c>
      <c r="R529" s="17">
        <v>10</v>
      </c>
      <c r="S529" s="13" t="s">
        <v>0</v>
      </c>
    </row>
    <row r="530" spans="1:19" x14ac:dyDescent="0.25">
      <c r="A530" s="13">
        <v>982074914</v>
      </c>
      <c r="B530" s="27" t="s">
        <v>302</v>
      </c>
      <c r="C530" s="28">
        <v>0</v>
      </c>
      <c r="D530" s="13">
        <v>390337</v>
      </c>
      <c r="E530" s="13"/>
      <c r="F530" s="13">
        <v>300</v>
      </c>
      <c r="G530" s="13">
        <v>300</v>
      </c>
      <c r="H530" s="13"/>
      <c r="I530" s="13"/>
      <c r="J530" s="13"/>
      <c r="K530" s="13">
        <v>300</v>
      </c>
      <c r="L530" s="13"/>
      <c r="M530" s="13" t="s">
        <v>23</v>
      </c>
      <c r="N530" s="13">
        <f>IFERROR(VLOOKUP($A:$A,[1]KION_IND_E_COM_LT!$A:$T,18,0),"")</f>
        <v>0</v>
      </c>
      <c r="O530" s="14">
        <v>1</v>
      </c>
      <c r="P530" s="15">
        <f t="shared" si="8"/>
        <v>300</v>
      </c>
      <c r="Q530" s="16">
        <v>44116</v>
      </c>
      <c r="R530" s="17">
        <v>13</v>
      </c>
      <c r="S530" s="13" t="s">
        <v>0</v>
      </c>
    </row>
    <row r="531" spans="1:19" x14ac:dyDescent="0.25">
      <c r="A531" s="13">
        <v>982074915</v>
      </c>
      <c r="B531" s="27" t="s">
        <v>302</v>
      </c>
      <c r="C531" s="28">
        <v>0</v>
      </c>
      <c r="D531" s="13">
        <v>390337</v>
      </c>
      <c r="E531" s="13"/>
      <c r="F531" s="13">
        <v>130</v>
      </c>
      <c r="G531" s="13">
        <v>130</v>
      </c>
      <c r="H531" s="13"/>
      <c r="I531" s="13"/>
      <c r="J531" s="13"/>
      <c r="K531" s="13">
        <v>130</v>
      </c>
      <c r="L531" s="13"/>
      <c r="M531" s="13" t="s">
        <v>23</v>
      </c>
      <c r="N531" s="13">
        <f>IFERROR(VLOOKUP($A:$A,[1]KION_IND_E_COM_LT!$A:$T,18,0),"")</f>
        <v>0</v>
      </c>
      <c r="O531" s="14">
        <v>1</v>
      </c>
      <c r="P531" s="15">
        <f t="shared" si="8"/>
        <v>130</v>
      </c>
      <c r="Q531" s="16" t="s">
        <v>3</v>
      </c>
      <c r="R531" s="17" t="s">
        <v>3</v>
      </c>
      <c r="S531" s="13" t="s">
        <v>0</v>
      </c>
    </row>
    <row r="532" spans="1:19" x14ac:dyDescent="0.25">
      <c r="A532" s="13">
        <v>982074921</v>
      </c>
      <c r="B532" s="27" t="s">
        <v>151</v>
      </c>
      <c r="C532" s="28">
        <v>2</v>
      </c>
      <c r="D532" s="13">
        <v>390337</v>
      </c>
      <c r="E532" s="13"/>
      <c r="F532" s="13">
        <v>100</v>
      </c>
      <c r="G532" s="13">
        <v>100</v>
      </c>
      <c r="H532" s="13"/>
      <c r="I532" s="13"/>
      <c r="J532" s="13"/>
      <c r="K532" s="13">
        <v>100</v>
      </c>
      <c r="L532" s="22" t="s">
        <v>21</v>
      </c>
      <c r="M532" s="13" t="s">
        <v>60</v>
      </c>
      <c r="N532" s="13">
        <f>IFERROR(VLOOKUP($A:$A,[1]KION_IND_E_COM_LT!$A:$T,18,0),"")</f>
        <v>0</v>
      </c>
      <c r="O532" s="14">
        <v>1</v>
      </c>
      <c r="P532" s="15">
        <f t="shared" si="8"/>
        <v>100</v>
      </c>
      <c r="Q532" s="16">
        <v>44081</v>
      </c>
      <c r="R532" s="17">
        <v>8</v>
      </c>
      <c r="S532" s="13" t="s">
        <v>0</v>
      </c>
    </row>
    <row r="533" spans="1:19" x14ac:dyDescent="0.25">
      <c r="A533" s="13">
        <v>982074922</v>
      </c>
      <c r="B533" s="27" t="s">
        <v>151</v>
      </c>
      <c r="C533" s="28">
        <v>2</v>
      </c>
      <c r="D533" s="13">
        <v>390337</v>
      </c>
      <c r="E533" s="13"/>
      <c r="F533" s="13">
        <v>400</v>
      </c>
      <c r="G533" s="13">
        <v>400</v>
      </c>
      <c r="H533" s="13"/>
      <c r="I533" s="13"/>
      <c r="J533" s="13"/>
      <c r="K533" s="13">
        <v>400</v>
      </c>
      <c r="L533" s="13"/>
      <c r="M533" s="13" t="s">
        <v>23</v>
      </c>
      <c r="N533" s="13">
        <f>IFERROR(VLOOKUP($A:$A,[1]KION_IND_E_COM_LT!$A:$T,18,0),"")</f>
        <v>0</v>
      </c>
      <c r="O533" s="14">
        <v>1</v>
      </c>
      <c r="P533" s="15">
        <f t="shared" si="8"/>
        <v>400</v>
      </c>
      <c r="Q533" s="16">
        <v>44081</v>
      </c>
      <c r="R533" s="17">
        <v>8</v>
      </c>
      <c r="S533" s="13" t="s">
        <v>0</v>
      </c>
    </row>
    <row r="534" spans="1:19" x14ac:dyDescent="0.25">
      <c r="A534" s="13">
        <v>982074923</v>
      </c>
      <c r="B534" s="27" t="s">
        <v>151</v>
      </c>
      <c r="C534" s="28">
        <v>2</v>
      </c>
      <c r="D534" s="13">
        <v>390337</v>
      </c>
      <c r="E534" s="13"/>
      <c r="F534" s="13">
        <v>400</v>
      </c>
      <c r="G534" s="13">
        <v>400</v>
      </c>
      <c r="H534" s="13"/>
      <c r="I534" s="13"/>
      <c r="J534" s="13"/>
      <c r="K534" s="13">
        <v>400</v>
      </c>
      <c r="L534" s="13"/>
      <c r="M534" s="13" t="s">
        <v>23</v>
      </c>
      <c r="N534" s="13">
        <f>IFERROR(VLOOKUP($A:$A,[1]KION_IND_E_COM_LT!$A:$T,18,0),"")</f>
        <v>0</v>
      </c>
      <c r="O534" s="14">
        <v>1</v>
      </c>
      <c r="P534" s="15">
        <f t="shared" si="8"/>
        <v>400</v>
      </c>
      <c r="Q534" s="16">
        <v>44088</v>
      </c>
      <c r="R534" s="17">
        <v>9</v>
      </c>
      <c r="S534" s="13" t="s">
        <v>0</v>
      </c>
    </row>
    <row r="535" spans="1:19" x14ac:dyDescent="0.25">
      <c r="A535" s="13">
        <v>982074924</v>
      </c>
      <c r="B535" s="27" t="s">
        <v>151</v>
      </c>
      <c r="C535" s="28">
        <v>2</v>
      </c>
      <c r="D535" s="13">
        <v>390337</v>
      </c>
      <c r="E535" s="13"/>
      <c r="F535" s="13">
        <v>250</v>
      </c>
      <c r="G535" s="13">
        <v>250</v>
      </c>
      <c r="H535" s="13"/>
      <c r="I535" s="13"/>
      <c r="J535" s="13"/>
      <c r="K535" s="13">
        <v>250</v>
      </c>
      <c r="L535" s="13"/>
      <c r="M535" s="13" t="s">
        <v>23</v>
      </c>
      <c r="N535" s="13">
        <f>IFERROR(VLOOKUP($A:$A,[1]KION_IND_E_COM_LT!$A:$T,18,0),"")</f>
        <v>0</v>
      </c>
      <c r="O535" s="14">
        <v>1</v>
      </c>
      <c r="P535" s="15">
        <f t="shared" si="8"/>
        <v>250</v>
      </c>
      <c r="Q535" s="16">
        <v>44109</v>
      </c>
      <c r="R535" s="17">
        <v>12</v>
      </c>
      <c r="S535" s="13" t="s">
        <v>0</v>
      </c>
    </row>
    <row r="536" spans="1:19" x14ac:dyDescent="0.25">
      <c r="A536" s="13">
        <v>982074925</v>
      </c>
      <c r="B536" s="27" t="s">
        <v>151</v>
      </c>
      <c r="C536" s="28">
        <v>2</v>
      </c>
      <c r="D536" s="13">
        <v>390337</v>
      </c>
      <c r="E536" s="13"/>
      <c r="F536" s="13">
        <v>200</v>
      </c>
      <c r="G536" s="13">
        <v>200</v>
      </c>
      <c r="H536" s="13"/>
      <c r="I536" s="13"/>
      <c r="J536" s="13"/>
      <c r="K536" s="13">
        <v>200</v>
      </c>
      <c r="L536" s="13"/>
      <c r="M536" s="13" t="s">
        <v>23</v>
      </c>
      <c r="N536" s="13">
        <f>IFERROR(VLOOKUP($A:$A,[1]KION_IND_E_COM_LT!$A:$T,18,0),"")</f>
        <v>0</v>
      </c>
      <c r="O536" s="14">
        <v>1</v>
      </c>
      <c r="P536" s="15">
        <f t="shared" si="8"/>
        <v>200</v>
      </c>
      <c r="Q536" s="16" t="s">
        <v>3</v>
      </c>
      <c r="R536" s="17" t="s">
        <v>3</v>
      </c>
      <c r="S536" s="13" t="s">
        <v>0</v>
      </c>
    </row>
    <row r="537" spans="1:19" x14ac:dyDescent="0.25">
      <c r="A537" s="13">
        <v>982074971</v>
      </c>
      <c r="B537" s="27" t="s">
        <v>286</v>
      </c>
      <c r="C537" s="28">
        <v>0</v>
      </c>
      <c r="D537" s="13">
        <v>390337</v>
      </c>
      <c r="E537" s="13"/>
      <c r="F537" s="13">
        <v>600</v>
      </c>
      <c r="G537" s="13">
        <v>600</v>
      </c>
      <c r="H537" s="13"/>
      <c r="I537" s="13"/>
      <c r="J537" s="13"/>
      <c r="K537" s="13">
        <v>600</v>
      </c>
      <c r="L537" s="22" t="s">
        <v>21</v>
      </c>
      <c r="M537" s="13" t="s">
        <v>320</v>
      </c>
      <c r="N537" s="13">
        <f>IFERROR(VLOOKUP($A:$A,[1]KION_IND_E_COM_LT!$A:$T,18,0),"")</f>
        <v>0</v>
      </c>
      <c r="O537" s="14">
        <v>1</v>
      </c>
      <c r="P537" s="15">
        <f t="shared" si="8"/>
        <v>600</v>
      </c>
      <c r="Q537" s="16">
        <v>44074</v>
      </c>
      <c r="R537" s="17">
        <v>7</v>
      </c>
      <c r="S537" s="13" t="s">
        <v>0</v>
      </c>
    </row>
    <row r="538" spans="1:19" x14ac:dyDescent="0.25">
      <c r="A538" s="13">
        <v>982074972</v>
      </c>
      <c r="B538" s="27" t="s">
        <v>286</v>
      </c>
      <c r="C538" s="28">
        <v>0</v>
      </c>
      <c r="D538" s="13">
        <v>390337</v>
      </c>
      <c r="E538" s="13"/>
      <c r="F538" s="13">
        <v>400</v>
      </c>
      <c r="G538" s="13">
        <v>400</v>
      </c>
      <c r="H538" s="13"/>
      <c r="I538" s="13"/>
      <c r="J538" s="13"/>
      <c r="K538" s="13">
        <v>400</v>
      </c>
      <c r="L538" s="13"/>
      <c r="M538" s="13" t="s">
        <v>23</v>
      </c>
      <c r="N538" s="13">
        <f>IFERROR(VLOOKUP($A:$A,[1]KION_IND_E_COM_LT!$A:$T,18,0),"")</f>
        <v>0</v>
      </c>
      <c r="O538" s="14">
        <v>1</v>
      </c>
      <c r="P538" s="15">
        <f t="shared" si="8"/>
        <v>400</v>
      </c>
      <c r="Q538" s="16">
        <v>44095</v>
      </c>
      <c r="R538" s="17">
        <v>10</v>
      </c>
      <c r="S538" s="13" t="s">
        <v>0</v>
      </c>
    </row>
    <row r="539" spans="1:19" x14ac:dyDescent="0.25">
      <c r="A539" s="13">
        <v>982074973</v>
      </c>
      <c r="B539" s="27" t="s">
        <v>286</v>
      </c>
      <c r="C539" s="28">
        <v>0</v>
      </c>
      <c r="D539" s="13">
        <v>390337</v>
      </c>
      <c r="E539" s="13"/>
      <c r="F539" s="13">
        <v>360</v>
      </c>
      <c r="G539" s="13">
        <v>360</v>
      </c>
      <c r="H539" s="13"/>
      <c r="I539" s="13"/>
      <c r="J539" s="13"/>
      <c r="K539" s="13">
        <v>360</v>
      </c>
      <c r="L539" s="13"/>
      <c r="M539" s="13" t="s">
        <v>23</v>
      </c>
      <c r="N539" s="13">
        <f>IFERROR(VLOOKUP($A:$A,[1]KION_IND_E_COM_LT!$A:$T,18,0),"")</f>
        <v>0</v>
      </c>
      <c r="O539" s="14">
        <v>1</v>
      </c>
      <c r="P539" s="15">
        <f t="shared" si="8"/>
        <v>360</v>
      </c>
      <c r="Q539" s="16">
        <v>44116</v>
      </c>
      <c r="R539" s="17">
        <v>13</v>
      </c>
      <c r="S539" s="13" t="s">
        <v>0</v>
      </c>
    </row>
    <row r="540" spans="1:19" x14ac:dyDescent="0.25">
      <c r="A540" s="13">
        <v>982074981</v>
      </c>
      <c r="B540" s="27" t="s">
        <v>287</v>
      </c>
      <c r="C540" s="28">
        <v>1</v>
      </c>
      <c r="D540" s="13">
        <v>390337</v>
      </c>
      <c r="E540" s="13"/>
      <c r="F540" s="13">
        <v>300</v>
      </c>
      <c r="G540" s="13">
        <v>300</v>
      </c>
      <c r="H540" s="13"/>
      <c r="I540" s="13"/>
      <c r="J540" s="13"/>
      <c r="K540" s="13">
        <v>300</v>
      </c>
      <c r="L540" s="22" t="s">
        <v>21</v>
      </c>
      <c r="M540" s="13" t="s">
        <v>60</v>
      </c>
      <c r="N540" s="13">
        <f>IFERROR(VLOOKUP($A:$A,[1]KION_IND_E_COM_LT!$A:$T,18,0),"")</f>
        <v>0</v>
      </c>
      <c r="O540" s="14">
        <v>1</v>
      </c>
      <c r="P540" s="15">
        <f t="shared" si="8"/>
        <v>300</v>
      </c>
      <c r="Q540" s="16">
        <v>44074</v>
      </c>
      <c r="R540" s="17">
        <v>7</v>
      </c>
      <c r="S540" s="13" t="s">
        <v>0</v>
      </c>
    </row>
    <row r="541" spans="1:19" x14ac:dyDescent="0.25">
      <c r="A541" s="13">
        <v>982074982</v>
      </c>
      <c r="B541" s="27" t="s">
        <v>287</v>
      </c>
      <c r="C541" s="28">
        <v>1</v>
      </c>
      <c r="D541" s="13">
        <v>390337</v>
      </c>
      <c r="E541" s="13"/>
      <c r="F541" s="13">
        <v>200</v>
      </c>
      <c r="G541" s="13">
        <v>200</v>
      </c>
      <c r="H541" s="13"/>
      <c r="I541" s="13"/>
      <c r="J541" s="13"/>
      <c r="K541" s="13">
        <v>200</v>
      </c>
      <c r="L541" s="13"/>
      <c r="M541" s="13" t="s">
        <v>23</v>
      </c>
      <c r="N541" s="13">
        <f>IFERROR(VLOOKUP($A:$A,[1]KION_IND_E_COM_LT!$A:$T,18,0),"")</f>
        <v>0</v>
      </c>
      <c r="O541" s="14">
        <v>1</v>
      </c>
      <c r="P541" s="15">
        <f t="shared" si="8"/>
        <v>200</v>
      </c>
      <c r="Q541" s="16">
        <v>44095</v>
      </c>
      <c r="R541" s="17">
        <v>10</v>
      </c>
      <c r="S541" s="13" t="s">
        <v>0</v>
      </c>
    </row>
    <row r="542" spans="1:19" x14ac:dyDescent="0.25">
      <c r="A542" s="13">
        <v>982074983</v>
      </c>
      <c r="B542" s="27" t="s">
        <v>287</v>
      </c>
      <c r="C542" s="28">
        <v>1</v>
      </c>
      <c r="D542" s="13">
        <v>390337</v>
      </c>
      <c r="E542" s="13"/>
      <c r="F542" s="13">
        <v>180</v>
      </c>
      <c r="G542" s="13">
        <v>180</v>
      </c>
      <c r="H542" s="13"/>
      <c r="I542" s="13"/>
      <c r="J542" s="13"/>
      <c r="K542" s="13">
        <v>180</v>
      </c>
      <c r="L542" s="13"/>
      <c r="M542" s="13" t="s">
        <v>23</v>
      </c>
      <c r="N542" s="13">
        <f>IFERROR(VLOOKUP($A:$A,[1]KION_IND_E_COM_LT!$A:$T,18,0),"")</f>
        <v>0</v>
      </c>
      <c r="O542" s="14">
        <v>1</v>
      </c>
      <c r="P542" s="15">
        <f t="shared" si="8"/>
        <v>180</v>
      </c>
      <c r="Q542" s="16">
        <v>44116</v>
      </c>
      <c r="R542" s="17">
        <v>13</v>
      </c>
      <c r="S542" s="13" t="s">
        <v>0</v>
      </c>
    </row>
    <row r="543" spans="1:19" x14ac:dyDescent="0.25">
      <c r="A543" s="13">
        <v>982074991</v>
      </c>
      <c r="B543" s="27" t="s">
        <v>163</v>
      </c>
      <c r="C543" s="28">
        <v>1</v>
      </c>
      <c r="D543" s="13">
        <v>390337</v>
      </c>
      <c r="E543" s="13"/>
      <c r="F543" s="13">
        <v>300</v>
      </c>
      <c r="G543" s="13">
        <v>300</v>
      </c>
      <c r="H543" s="13"/>
      <c r="I543" s="13"/>
      <c r="J543" s="13"/>
      <c r="K543" s="13">
        <v>300</v>
      </c>
      <c r="L543" s="22" t="s">
        <v>21</v>
      </c>
      <c r="M543" s="13" t="s">
        <v>60</v>
      </c>
      <c r="N543" s="13">
        <f>IFERROR(VLOOKUP($A:$A,[1]KION_IND_E_COM_LT!$A:$T,18,0),"")</f>
        <v>0</v>
      </c>
      <c r="O543" s="14">
        <v>1</v>
      </c>
      <c r="P543" s="15">
        <f t="shared" si="8"/>
        <v>300</v>
      </c>
      <c r="Q543" s="16">
        <v>44074</v>
      </c>
      <c r="R543" s="17">
        <v>7</v>
      </c>
      <c r="S543" s="13" t="s">
        <v>0</v>
      </c>
    </row>
    <row r="544" spans="1:19" x14ac:dyDescent="0.25">
      <c r="A544" s="13">
        <v>982074992</v>
      </c>
      <c r="B544" s="27" t="s">
        <v>163</v>
      </c>
      <c r="C544" s="28">
        <v>1</v>
      </c>
      <c r="D544" s="13">
        <v>390337</v>
      </c>
      <c r="E544" s="13"/>
      <c r="F544" s="13">
        <v>200</v>
      </c>
      <c r="G544" s="13">
        <v>200</v>
      </c>
      <c r="H544" s="13"/>
      <c r="I544" s="13"/>
      <c r="J544" s="13"/>
      <c r="K544" s="13">
        <v>200</v>
      </c>
      <c r="L544" s="13"/>
      <c r="M544" s="13" t="s">
        <v>23</v>
      </c>
      <c r="N544" s="13">
        <f>IFERROR(VLOOKUP($A:$A,[1]KION_IND_E_COM_LT!$A:$T,18,0),"")</f>
        <v>0</v>
      </c>
      <c r="O544" s="14">
        <v>1</v>
      </c>
      <c r="P544" s="15">
        <f t="shared" si="8"/>
        <v>200</v>
      </c>
      <c r="Q544" s="16">
        <v>44095</v>
      </c>
      <c r="R544" s="17">
        <v>10</v>
      </c>
      <c r="S544" s="13" t="s">
        <v>0</v>
      </c>
    </row>
    <row r="545" spans="1:19" x14ac:dyDescent="0.25">
      <c r="A545" s="13">
        <v>982074993</v>
      </c>
      <c r="B545" s="27" t="s">
        <v>163</v>
      </c>
      <c r="C545" s="28">
        <v>1</v>
      </c>
      <c r="D545" s="13">
        <v>390337</v>
      </c>
      <c r="E545" s="13"/>
      <c r="F545" s="13">
        <v>180</v>
      </c>
      <c r="G545" s="13">
        <v>180</v>
      </c>
      <c r="H545" s="13"/>
      <c r="I545" s="13"/>
      <c r="J545" s="13"/>
      <c r="K545" s="13">
        <v>180</v>
      </c>
      <c r="L545" s="13"/>
      <c r="M545" s="13" t="s">
        <v>23</v>
      </c>
      <c r="N545" s="13">
        <f>IFERROR(VLOOKUP($A:$A,[1]KION_IND_E_COM_LT!$A:$T,18,0),"")</f>
        <v>0</v>
      </c>
      <c r="O545" s="14">
        <v>1</v>
      </c>
      <c r="P545" s="15">
        <f t="shared" si="8"/>
        <v>180</v>
      </c>
      <c r="Q545" s="16">
        <v>44116</v>
      </c>
      <c r="R545" s="17">
        <v>13</v>
      </c>
      <c r="S545" s="13" t="s">
        <v>0</v>
      </c>
    </row>
    <row r="546" spans="1:19" x14ac:dyDescent="0.25">
      <c r="A546" s="13">
        <v>982075001</v>
      </c>
      <c r="B546" s="27" t="s">
        <v>136</v>
      </c>
      <c r="C546" s="28">
        <v>0</v>
      </c>
      <c r="D546" s="13">
        <v>390337</v>
      </c>
      <c r="E546" s="13"/>
      <c r="F546" s="13">
        <v>500</v>
      </c>
      <c r="G546" s="13">
        <v>500</v>
      </c>
      <c r="H546" s="13"/>
      <c r="I546" s="13"/>
      <c r="J546" s="13"/>
      <c r="K546" s="13">
        <v>500</v>
      </c>
      <c r="L546" s="22" t="s">
        <v>21</v>
      </c>
      <c r="M546" s="22" t="s">
        <v>60</v>
      </c>
      <c r="N546" s="13">
        <f>IFERROR(VLOOKUP($A:$A,[1]KION_IND_E_COM_LT!$A:$T,18,0),"")</f>
        <v>0</v>
      </c>
      <c r="O546" s="14">
        <v>1</v>
      </c>
      <c r="P546" s="15">
        <f t="shared" si="8"/>
        <v>500</v>
      </c>
      <c r="Q546" s="16">
        <v>44074</v>
      </c>
      <c r="R546" s="17">
        <v>7</v>
      </c>
      <c r="S546" s="13" t="s">
        <v>0</v>
      </c>
    </row>
    <row r="547" spans="1:19" x14ac:dyDescent="0.25">
      <c r="A547" s="13">
        <v>982075002</v>
      </c>
      <c r="B547" s="27" t="s">
        <v>136</v>
      </c>
      <c r="C547" s="28">
        <v>0</v>
      </c>
      <c r="D547" s="13">
        <v>390337</v>
      </c>
      <c r="E547" s="13"/>
      <c r="F547" s="13">
        <v>460</v>
      </c>
      <c r="G547" s="13">
        <v>460</v>
      </c>
      <c r="H547" s="13"/>
      <c r="I547" s="13"/>
      <c r="J547" s="13"/>
      <c r="K547" s="13">
        <v>460</v>
      </c>
      <c r="L547" s="13"/>
      <c r="M547" s="13" t="s">
        <v>23</v>
      </c>
      <c r="N547" s="13">
        <f>IFERROR(VLOOKUP($A:$A,[1]KION_IND_E_COM_LT!$A:$T,18,0),"")</f>
        <v>0</v>
      </c>
      <c r="O547" s="14">
        <v>1</v>
      </c>
      <c r="P547" s="15">
        <f t="shared" si="8"/>
        <v>460</v>
      </c>
      <c r="Q547" s="16">
        <v>44095</v>
      </c>
      <c r="R547" s="17">
        <v>10</v>
      </c>
      <c r="S547" s="13" t="s">
        <v>0</v>
      </c>
    </row>
    <row r="548" spans="1:19" x14ac:dyDescent="0.25">
      <c r="A548" s="13">
        <v>982075003</v>
      </c>
      <c r="B548" s="27" t="s">
        <v>136</v>
      </c>
      <c r="C548" s="28">
        <v>0</v>
      </c>
      <c r="D548" s="13">
        <v>390337</v>
      </c>
      <c r="E548" s="13"/>
      <c r="F548" s="13">
        <v>400</v>
      </c>
      <c r="G548" s="13">
        <v>400</v>
      </c>
      <c r="H548" s="13"/>
      <c r="I548" s="13"/>
      <c r="J548" s="13"/>
      <c r="K548" s="13">
        <v>400</v>
      </c>
      <c r="L548" s="13"/>
      <c r="M548" s="13" t="s">
        <v>23</v>
      </c>
      <c r="N548" s="13">
        <f>IFERROR(VLOOKUP($A:$A,[1]KION_IND_E_COM_LT!$A:$T,18,0),"")</f>
        <v>0</v>
      </c>
      <c r="O548" s="14">
        <v>1</v>
      </c>
      <c r="P548" s="15">
        <f t="shared" si="8"/>
        <v>400</v>
      </c>
      <c r="Q548" s="16">
        <v>44116</v>
      </c>
      <c r="R548" s="17">
        <v>13</v>
      </c>
      <c r="S548" s="13" t="s">
        <v>0</v>
      </c>
    </row>
    <row r="549" spans="1:19" x14ac:dyDescent="0.25">
      <c r="A549" s="13">
        <v>982075021</v>
      </c>
      <c r="B549" s="27" t="s">
        <v>241</v>
      </c>
      <c r="C549" s="28">
        <v>1</v>
      </c>
      <c r="D549" s="13">
        <v>390337</v>
      </c>
      <c r="E549" s="13"/>
      <c r="F549" s="13">
        <v>300</v>
      </c>
      <c r="G549" s="13">
        <v>200</v>
      </c>
      <c r="H549" s="13"/>
      <c r="I549" s="13">
        <v>200</v>
      </c>
      <c r="J549" s="13"/>
      <c r="K549" s="13">
        <v>0</v>
      </c>
      <c r="L549" s="22" t="s">
        <v>21</v>
      </c>
      <c r="M549" s="13" t="s">
        <v>32</v>
      </c>
      <c r="N549" s="13">
        <f>IFERROR(VLOOKUP($A:$A,[1]KION_IND_E_COM_LT!$A:$T,18,0),"")</f>
        <v>0</v>
      </c>
      <c r="O549" s="14"/>
      <c r="P549" s="15">
        <f t="shared" si="8"/>
        <v>0</v>
      </c>
      <c r="Q549" s="16"/>
      <c r="R549" s="17">
        <v>7</v>
      </c>
      <c r="S549" s="13" t="s">
        <v>0</v>
      </c>
    </row>
    <row r="550" spans="1:19" x14ac:dyDescent="0.25">
      <c r="A550" s="13">
        <v>982075022</v>
      </c>
      <c r="B550" s="27" t="s">
        <v>241</v>
      </c>
      <c r="C550" s="28">
        <v>1</v>
      </c>
      <c r="D550" s="13">
        <v>390337</v>
      </c>
      <c r="E550" s="13"/>
      <c r="F550" s="13">
        <v>200</v>
      </c>
      <c r="G550" s="13">
        <v>200</v>
      </c>
      <c r="H550" s="13"/>
      <c r="I550" s="13"/>
      <c r="J550" s="13"/>
      <c r="K550" s="13">
        <v>200</v>
      </c>
      <c r="L550" s="22" t="s">
        <v>21</v>
      </c>
      <c r="M550" s="13" t="s">
        <v>320</v>
      </c>
      <c r="N550" s="13">
        <f>IFERROR(VLOOKUP($A:$A,[1]KION_IND_E_COM_LT!$A:$T,18,0),"")</f>
        <v>0</v>
      </c>
      <c r="O550" s="14">
        <v>1</v>
      </c>
      <c r="P550" s="15">
        <f t="shared" si="8"/>
        <v>200</v>
      </c>
      <c r="Q550" s="16">
        <v>44074</v>
      </c>
      <c r="R550" s="17">
        <v>7</v>
      </c>
      <c r="S550" s="13" t="s">
        <v>0</v>
      </c>
    </row>
    <row r="551" spans="1:19" x14ac:dyDescent="0.25">
      <c r="A551" s="13">
        <v>982075023</v>
      </c>
      <c r="B551" s="27" t="s">
        <v>241</v>
      </c>
      <c r="C551" s="28">
        <v>1</v>
      </c>
      <c r="D551" s="13">
        <v>390337</v>
      </c>
      <c r="E551" s="13"/>
      <c r="F551" s="13">
        <v>180</v>
      </c>
      <c r="G551" s="13">
        <v>180</v>
      </c>
      <c r="H551" s="13"/>
      <c r="I551" s="13"/>
      <c r="J551" s="13"/>
      <c r="K551" s="13">
        <v>180</v>
      </c>
      <c r="L551" s="13"/>
      <c r="M551" s="13" t="s">
        <v>23</v>
      </c>
      <c r="N551" s="13">
        <f>IFERROR(VLOOKUP($A:$A,[1]KION_IND_E_COM_LT!$A:$T,18,0),"")</f>
        <v>0</v>
      </c>
      <c r="O551" s="14">
        <v>1</v>
      </c>
      <c r="P551" s="15">
        <f t="shared" si="8"/>
        <v>180</v>
      </c>
      <c r="Q551" s="16">
        <v>44088</v>
      </c>
      <c r="R551" s="17">
        <v>9</v>
      </c>
      <c r="S551" s="13" t="s">
        <v>0</v>
      </c>
    </row>
    <row r="552" spans="1:19" x14ac:dyDescent="0.25">
      <c r="A552" s="13">
        <v>982075061</v>
      </c>
      <c r="B552" s="27" t="s">
        <v>137</v>
      </c>
      <c r="C552" s="28">
        <v>0</v>
      </c>
      <c r="D552" s="13">
        <v>390337</v>
      </c>
      <c r="E552" s="13"/>
      <c r="F552" s="13">
        <v>260</v>
      </c>
      <c r="G552" s="13">
        <v>260</v>
      </c>
      <c r="H552" s="13"/>
      <c r="I552" s="13"/>
      <c r="J552" s="13"/>
      <c r="K552" s="13">
        <v>260</v>
      </c>
      <c r="L552" s="22" t="s">
        <v>21</v>
      </c>
      <c r="M552" s="13" t="s">
        <v>320</v>
      </c>
      <c r="N552" s="13">
        <f>IFERROR(VLOOKUP($A:$A,[1]KION_IND_E_COM_LT!$A:$T,18,0),"")</f>
        <v>0</v>
      </c>
      <c r="O552" s="14">
        <v>1</v>
      </c>
      <c r="P552" s="15">
        <f t="shared" si="8"/>
        <v>260</v>
      </c>
      <c r="Q552" s="16">
        <v>44074</v>
      </c>
      <c r="R552" s="17">
        <v>7</v>
      </c>
      <c r="S552" s="13" t="s">
        <v>0</v>
      </c>
    </row>
    <row r="553" spans="1:19" x14ac:dyDescent="0.25">
      <c r="A553" s="13">
        <v>982075062</v>
      </c>
      <c r="B553" s="27" t="s">
        <v>137</v>
      </c>
      <c r="C553" s="28">
        <v>0</v>
      </c>
      <c r="D553" s="13">
        <v>390337</v>
      </c>
      <c r="E553" s="13"/>
      <c r="F553" s="13">
        <v>220</v>
      </c>
      <c r="G553" s="13">
        <v>220</v>
      </c>
      <c r="H553" s="13"/>
      <c r="I553" s="13"/>
      <c r="J553" s="13"/>
      <c r="K553" s="13">
        <v>220</v>
      </c>
      <c r="L553" s="13"/>
      <c r="M553" s="13" t="s">
        <v>23</v>
      </c>
      <c r="N553" s="13">
        <f>IFERROR(VLOOKUP($A:$A,[1]KION_IND_E_COM_LT!$A:$T,18,0),"")</f>
        <v>0</v>
      </c>
      <c r="O553" s="14">
        <v>1</v>
      </c>
      <c r="P553" s="15">
        <f t="shared" si="8"/>
        <v>220</v>
      </c>
      <c r="Q553" s="16">
        <v>44095</v>
      </c>
      <c r="R553" s="17">
        <v>10</v>
      </c>
      <c r="S553" s="13" t="s">
        <v>0</v>
      </c>
    </row>
    <row r="554" spans="1:19" x14ac:dyDescent="0.25">
      <c r="A554" s="13">
        <v>982075063</v>
      </c>
      <c r="B554" s="27" t="s">
        <v>137</v>
      </c>
      <c r="C554" s="28">
        <v>0</v>
      </c>
      <c r="D554" s="13">
        <v>390337</v>
      </c>
      <c r="E554" s="13"/>
      <c r="F554" s="13">
        <v>200</v>
      </c>
      <c r="G554" s="13">
        <v>200</v>
      </c>
      <c r="H554" s="13"/>
      <c r="I554" s="13"/>
      <c r="J554" s="13"/>
      <c r="K554" s="13">
        <v>200</v>
      </c>
      <c r="L554" s="13"/>
      <c r="M554" s="13" t="s">
        <v>23</v>
      </c>
      <c r="N554" s="13">
        <f>IFERROR(VLOOKUP($A:$A,[1]KION_IND_E_COM_LT!$A:$T,18,0),"")</f>
        <v>0</v>
      </c>
      <c r="O554" s="14">
        <v>1</v>
      </c>
      <c r="P554" s="15">
        <f t="shared" si="8"/>
        <v>200</v>
      </c>
      <c r="Q554" s="16">
        <v>44116</v>
      </c>
      <c r="R554" s="17">
        <v>13</v>
      </c>
      <c r="S554" s="13" t="s">
        <v>0</v>
      </c>
    </row>
    <row r="555" spans="1:19" x14ac:dyDescent="0.25">
      <c r="A555" s="13">
        <v>982075091</v>
      </c>
      <c r="B555" s="27" t="s">
        <v>148</v>
      </c>
      <c r="C555" s="28">
        <v>0</v>
      </c>
      <c r="D555" s="13">
        <v>390337</v>
      </c>
      <c r="E555" s="13"/>
      <c r="F555" s="13">
        <v>250</v>
      </c>
      <c r="G555" s="13">
        <v>250</v>
      </c>
      <c r="H555" s="13"/>
      <c r="I555" s="13"/>
      <c r="J555" s="13"/>
      <c r="K555" s="13">
        <v>250</v>
      </c>
      <c r="L555" s="22" t="s">
        <v>21</v>
      </c>
      <c r="M555" s="13" t="s">
        <v>60</v>
      </c>
      <c r="N555" s="13">
        <f>IFERROR(VLOOKUP($A:$A,[1]KION_IND_E_COM_LT!$A:$T,18,0),"")</f>
        <v>0</v>
      </c>
      <c r="O555" s="14">
        <v>1</v>
      </c>
      <c r="P555" s="15">
        <f t="shared" si="8"/>
        <v>250</v>
      </c>
      <c r="Q555" s="16">
        <v>44067</v>
      </c>
      <c r="R555" s="17">
        <v>6</v>
      </c>
      <c r="S555" s="13" t="s">
        <v>0</v>
      </c>
    </row>
    <row r="556" spans="1:19" x14ac:dyDescent="0.25">
      <c r="A556" s="13">
        <v>982075092</v>
      </c>
      <c r="B556" s="27" t="s">
        <v>148</v>
      </c>
      <c r="C556" s="28">
        <v>0</v>
      </c>
      <c r="D556" s="13">
        <v>390337</v>
      </c>
      <c r="E556" s="13"/>
      <c r="F556" s="13">
        <v>250</v>
      </c>
      <c r="G556" s="13">
        <v>250</v>
      </c>
      <c r="H556" s="13"/>
      <c r="I556" s="13"/>
      <c r="J556" s="13"/>
      <c r="K556" s="13">
        <v>250</v>
      </c>
      <c r="L556" s="22" t="s">
        <v>21</v>
      </c>
      <c r="M556" s="13" t="s">
        <v>60</v>
      </c>
      <c r="N556" s="13">
        <f>IFERROR(VLOOKUP($A:$A,[1]KION_IND_E_COM_LT!$A:$T,18,0),"")</f>
        <v>0</v>
      </c>
      <c r="O556" s="14">
        <v>1</v>
      </c>
      <c r="P556" s="15">
        <f t="shared" si="8"/>
        <v>250</v>
      </c>
      <c r="Q556" s="16">
        <v>44074</v>
      </c>
      <c r="R556" s="17">
        <v>7</v>
      </c>
      <c r="S556" s="13" t="s">
        <v>0</v>
      </c>
    </row>
    <row r="557" spans="1:19" x14ac:dyDescent="0.25">
      <c r="A557" s="13">
        <v>982075093</v>
      </c>
      <c r="B557" s="27" t="s">
        <v>148</v>
      </c>
      <c r="C557" s="28">
        <v>0</v>
      </c>
      <c r="D557" s="13">
        <v>390337</v>
      </c>
      <c r="E557" s="13"/>
      <c r="F557" s="13">
        <v>450</v>
      </c>
      <c r="G557" s="13">
        <v>450</v>
      </c>
      <c r="H557" s="13"/>
      <c r="I557" s="13"/>
      <c r="J557" s="13"/>
      <c r="K557" s="13">
        <v>450</v>
      </c>
      <c r="L557" s="22" t="s">
        <v>21</v>
      </c>
      <c r="M557" s="13" t="s">
        <v>60</v>
      </c>
      <c r="N557" s="13">
        <f>IFERROR(VLOOKUP($A:$A,[1]KION_IND_E_COM_LT!$A:$T,18,0),"")</f>
        <v>0</v>
      </c>
      <c r="O557" s="14">
        <v>1</v>
      </c>
      <c r="P557" s="15">
        <f t="shared" si="8"/>
        <v>450</v>
      </c>
      <c r="Q557" s="16">
        <v>44081</v>
      </c>
      <c r="R557" s="17">
        <v>8</v>
      </c>
      <c r="S557" s="13" t="s">
        <v>0</v>
      </c>
    </row>
    <row r="558" spans="1:19" x14ac:dyDescent="0.25">
      <c r="A558" s="13">
        <v>982075094</v>
      </c>
      <c r="B558" s="27" t="s">
        <v>148</v>
      </c>
      <c r="C558" s="28">
        <v>0</v>
      </c>
      <c r="D558" s="13">
        <v>390337</v>
      </c>
      <c r="E558" s="13"/>
      <c r="F558" s="13">
        <v>200</v>
      </c>
      <c r="G558" s="13">
        <v>200</v>
      </c>
      <c r="H558" s="13"/>
      <c r="I558" s="13"/>
      <c r="J558" s="13"/>
      <c r="K558" s="13">
        <v>200</v>
      </c>
      <c r="L558" s="13"/>
      <c r="M558" s="13" t="s">
        <v>23</v>
      </c>
      <c r="N558" s="13">
        <f>IFERROR(VLOOKUP($A:$A,[1]KION_IND_E_COM_LT!$A:$T,18,0),"")</f>
        <v>0</v>
      </c>
      <c r="O558" s="14">
        <v>1</v>
      </c>
      <c r="P558" s="15">
        <f t="shared" si="8"/>
        <v>200</v>
      </c>
      <c r="Q558" s="16">
        <v>44109</v>
      </c>
      <c r="R558" s="17">
        <v>12</v>
      </c>
      <c r="S558" s="13" t="s">
        <v>0</v>
      </c>
    </row>
    <row r="559" spans="1:19" x14ac:dyDescent="0.25">
      <c r="A559" s="13">
        <v>982075095</v>
      </c>
      <c r="B559" s="27" t="s">
        <v>148</v>
      </c>
      <c r="C559" s="28">
        <v>0</v>
      </c>
      <c r="D559" s="13">
        <v>390337</v>
      </c>
      <c r="E559" s="13"/>
      <c r="F559" s="13">
        <v>160</v>
      </c>
      <c r="G559" s="13">
        <v>160</v>
      </c>
      <c r="H559" s="13"/>
      <c r="I559" s="13"/>
      <c r="J559" s="13"/>
      <c r="K559" s="13">
        <v>160</v>
      </c>
      <c r="L559" s="13"/>
      <c r="M559" s="13" t="s">
        <v>23</v>
      </c>
      <c r="N559" s="13">
        <f>IFERROR(VLOOKUP($A:$A,[1]KION_IND_E_COM_LT!$A:$T,18,0),"")</f>
        <v>0</v>
      </c>
      <c r="O559" s="14">
        <v>1</v>
      </c>
      <c r="P559" s="15">
        <f t="shared" si="8"/>
        <v>160</v>
      </c>
      <c r="Q559" s="16">
        <v>44116</v>
      </c>
      <c r="R559" s="17">
        <v>13</v>
      </c>
      <c r="S559" s="13" t="s">
        <v>0</v>
      </c>
    </row>
    <row r="560" spans="1:19" x14ac:dyDescent="0.25">
      <c r="A560" s="13">
        <v>982075151</v>
      </c>
      <c r="B560" s="27" t="s">
        <v>285</v>
      </c>
      <c r="C560" s="28">
        <v>1</v>
      </c>
      <c r="D560" s="13">
        <v>390337</v>
      </c>
      <c r="E560" s="13"/>
      <c r="F560" s="13">
        <v>300</v>
      </c>
      <c r="G560" s="13">
        <v>300</v>
      </c>
      <c r="H560" s="13"/>
      <c r="I560" s="13"/>
      <c r="J560" s="13"/>
      <c r="K560" s="13">
        <v>300</v>
      </c>
      <c r="L560" s="22" t="s">
        <v>21</v>
      </c>
      <c r="M560" s="13" t="s">
        <v>59</v>
      </c>
      <c r="N560" s="13">
        <f>IFERROR(VLOOKUP($A:$A,[1]KION_IND_E_COM_LT!$A:$T,18,0),"")</f>
        <v>0</v>
      </c>
      <c r="O560" s="14">
        <v>1</v>
      </c>
      <c r="P560" s="15">
        <f t="shared" si="8"/>
        <v>300</v>
      </c>
      <c r="Q560" s="16">
        <v>44074</v>
      </c>
      <c r="R560" s="17">
        <v>7</v>
      </c>
      <c r="S560" s="13" t="s">
        <v>0</v>
      </c>
    </row>
    <row r="561" spans="1:19" x14ac:dyDescent="0.25">
      <c r="A561" s="13">
        <v>982075152</v>
      </c>
      <c r="B561" s="27" t="s">
        <v>285</v>
      </c>
      <c r="C561" s="28">
        <v>1</v>
      </c>
      <c r="D561" s="13">
        <v>390337</v>
      </c>
      <c r="E561" s="13"/>
      <c r="F561" s="13">
        <v>200</v>
      </c>
      <c r="G561" s="13">
        <v>200</v>
      </c>
      <c r="H561" s="13"/>
      <c r="I561" s="13"/>
      <c r="J561" s="13"/>
      <c r="K561" s="13">
        <v>200</v>
      </c>
      <c r="L561" s="22" t="s">
        <v>21</v>
      </c>
      <c r="M561" s="13" t="s">
        <v>59</v>
      </c>
      <c r="N561" s="13">
        <f>IFERROR(VLOOKUP($A:$A,[1]KION_IND_E_COM_LT!$A:$T,18,0),"")</f>
        <v>0</v>
      </c>
      <c r="O561" s="14">
        <v>1</v>
      </c>
      <c r="P561" s="15">
        <f t="shared" si="8"/>
        <v>200</v>
      </c>
      <c r="Q561" s="16">
        <v>44088</v>
      </c>
      <c r="R561" s="17">
        <v>9</v>
      </c>
      <c r="S561" s="13" t="s">
        <v>0</v>
      </c>
    </row>
    <row r="562" spans="1:19" x14ac:dyDescent="0.25">
      <c r="A562" s="13">
        <v>982075153</v>
      </c>
      <c r="B562" s="27" t="s">
        <v>285</v>
      </c>
      <c r="C562" s="28">
        <v>1</v>
      </c>
      <c r="D562" s="13">
        <v>390337</v>
      </c>
      <c r="E562" s="13"/>
      <c r="F562" s="13">
        <v>160</v>
      </c>
      <c r="G562" s="13">
        <v>160</v>
      </c>
      <c r="H562" s="13"/>
      <c r="I562" s="13"/>
      <c r="J562" s="13"/>
      <c r="K562" s="13">
        <v>160</v>
      </c>
      <c r="L562" s="13"/>
      <c r="M562" s="13" t="s">
        <v>23</v>
      </c>
      <c r="N562" s="13">
        <f>IFERROR(VLOOKUP($A:$A,[1]KION_IND_E_COM_LT!$A:$T,18,0),"")</f>
        <v>0</v>
      </c>
      <c r="O562" s="14">
        <v>1</v>
      </c>
      <c r="P562" s="15">
        <f t="shared" si="8"/>
        <v>160</v>
      </c>
      <c r="Q562" s="16">
        <v>44109</v>
      </c>
      <c r="R562" s="17">
        <v>12</v>
      </c>
      <c r="S562" s="13" t="s">
        <v>0</v>
      </c>
    </row>
    <row r="563" spans="1:19" x14ac:dyDescent="0.25">
      <c r="A563" s="13">
        <v>982075161</v>
      </c>
      <c r="B563" s="27" t="s">
        <v>303</v>
      </c>
      <c r="C563" s="28">
        <v>1</v>
      </c>
      <c r="D563" s="13">
        <v>390337</v>
      </c>
      <c r="E563" s="13"/>
      <c r="F563" s="13">
        <v>300</v>
      </c>
      <c r="G563" s="13">
        <v>300</v>
      </c>
      <c r="H563" s="13"/>
      <c r="I563" s="13"/>
      <c r="J563" s="13"/>
      <c r="K563" s="13">
        <v>300</v>
      </c>
      <c r="L563" s="22" t="s">
        <v>21</v>
      </c>
      <c r="M563" s="13" t="s">
        <v>320</v>
      </c>
      <c r="N563" s="22" t="s">
        <v>63</v>
      </c>
      <c r="O563" s="14">
        <v>1</v>
      </c>
      <c r="P563" s="15">
        <f t="shared" si="8"/>
        <v>300</v>
      </c>
      <c r="Q563" s="16">
        <v>44053</v>
      </c>
      <c r="R563" s="17">
        <v>4</v>
      </c>
      <c r="S563" s="13" t="s">
        <v>0</v>
      </c>
    </row>
    <row r="564" spans="1:19" x14ac:dyDescent="0.25">
      <c r="A564" s="13">
        <v>982075162</v>
      </c>
      <c r="B564" s="27" t="s">
        <v>303</v>
      </c>
      <c r="C564" s="28">
        <v>1</v>
      </c>
      <c r="D564" s="13">
        <v>390337</v>
      </c>
      <c r="E564" s="13"/>
      <c r="F564" s="13">
        <v>200</v>
      </c>
      <c r="G564" s="13">
        <v>200</v>
      </c>
      <c r="H564" s="13"/>
      <c r="I564" s="13"/>
      <c r="J564" s="13"/>
      <c r="K564" s="13">
        <v>200</v>
      </c>
      <c r="L564" s="22" t="s">
        <v>21</v>
      </c>
      <c r="M564" s="13" t="s">
        <v>320</v>
      </c>
      <c r="N564" s="13">
        <f>IFERROR(VLOOKUP($A:$A,[1]KION_IND_E_COM_LT!$A:$T,18,0),"")</f>
        <v>0</v>
      </c>
      <c r="O564" s="14">
        <v>1</v>
      </c>
      <c r="P564" s="15">
        <f t="shared" si="8"/>
        <v>200</v>
      </c>
      <c r="Q564" s="16">
        <v>44074</v>
      </c>
      <c r="R564" s="17">
        <v>7</v>
      </c>
      <c r="S564" s="13" t="s">
        <v>0</v>
      </c>
    </row>
    <row r="565" spans="1:19" x14ac:dyDescent="0.25">
      <c r="A565" s="13">
        <v>982075163</v>
      </c>
      <c r="B565" s="27" t="s">
        <v>303</v>
      </c>
      <c r="C565" s="28">
        <v>1</v>
      </c>
      <c r="D565" s="13">
        <v>390337</v>
      </c>
      <c r="E565" s="13"/>
      <c r="F565" s="13">
        <v>160</v>
      </c>
      <c r="G565" s="13">
        <v>160</v>
      </c>
      <c r="H565" s="13"/>
      <c r="I565" s="13"/>
      <c r="J565" s="13"/>
      <c r="K565" s="13">
        <v>160</v>
      </c>
      <c r="L565" s="13"/>
      <c r="M565" s="13" t="s">
        <v>23</v>
      </c>
      <c r="N565" s="13">
        <f>IFERROR(VLOOKUP($A:$A,[1]KION_IND_E_COM_LT!$A:$T,18,0),"")</f>
        <v>0</v>
      </c>
      <c r="O565" s="14">
        <v>1</v>
      </c>
      <c r="P565" s="15">
        <f t="shared" si="8"/>
        <v>160</v>
      </c>
      <c r="Q565" s="16">
        <v>44088</v>
      </c>
      <c r="R565" s="17">
        <v>9</v>
      </c>
      <c r="S565" s="13" t="s">
        <v>0</v>
      </c>
    </row>
    <row r="566" spans="1:19" x14ac:dyDescent="0.25">
      <c r="A566" s="13">
        <v>982075221</v>
      </c>
      <c r="B566" s="27" t="s">
        <v>301</v>
      </c>
      <c r="C566" s="28">
        <v>1</v>
      </c>
      <c r="D566" s="13">
        <v>390337</v>
      </c>
      <c r="E566" s="13"/>
      <c r="F566" s="13">
        <v>300</v>
      </c>
      <c r="G566" s="13">
        <v>300</v>
      </c>
      <c r="H566" s="13"/>
      <c r="I566" s="13"/>
      <c r="J566" s="13"/>
      <c r="K566" s="13">
        <v>300</v>
      </c>
      <c r="L566" s="22" t="s">
        <v>21</v>
      </c>
      <c r="M566" s="22"/>
      <c r="N566" s="13">
        <f>IFERROR(VLOOKUP($A:$A,[1]KION_IND_E_COM_LT!$A:$T,18,0),"")</f>
        <v>0</v>
      </c>
      <c r="O566" s="14">
        <v>1</v>
      </c>
      <c r="P566" s="15">
        <f t="shared" si="8"/>
        <v>300</v>
      </c>
      <c r="Q566" s="16">
        <v>44067</v>
      </c>
      <c r="R566" s="17">
        <v>6</v>
      </c>
      <c r="S566" s="13" t="s">
        <v>0</v>
      </c>
    </row>
    <row r="567" spans="1:19" x14ac:dyDescent="0.25">
      <c r="A567" s="13">
        <v>982075222</v>
      </c>
      <c r="B567" s="27" t="s">
        <v>301</v>
      </c>
      <c r="C567" s="28">
        <v>1</v>
      </c>
      <c r="D567" s="13">
        <v>390337</v>
      </c>
      <c r="E567" s="13"/>
      <c r="F567" s="13">
        <v>150</v>
      </c>
      <c r="G567" s="13">
        <v>150</v>
      </c>
      <c r="H567" s="13"/>
      <c r="I567" s="13"/>
      <c r="J567" s="13"/>
      <c r="K567" s="13">
        <v>150</v>
      </c>
      <c r="L567" s="13"/>
      <c r="M567" s="13" t="s">
        <v>23</v>
      </c>
      <c r="N567" s="13">
        <f>IFERROR(VLOOKUP($A:$A,[1]KION_IND_E_COM_LT!$A:$T,18,0),"")</f>
        <v>0</v>
      </c>
      <c r="O567" s="14">
        <v>1</v>
      </c>
      <c r="P567" s="15">
        <f t="shared" si="8"/>
        <v>150</v>
      </c>
      <c r="Q567" s="16">
        <v>44088</v>
      </c>
      <c r="R567" s="17">
        <v>9</v>
      </c>
      <c r="S567" s="13" t="s">
        <v>0</v>
      </c>
    </row>
    <row r="568" spans="1:19" x14ac:dyDescent="0.25">
      <c r="A568" s="13">
        <v>982075223</v>
      </c>
      <c r="B568" s="27" t="s">
        <v>301</v>
      </c>
      <c r="C568" s="28">
        <v>1</v>
      </c>
      <c r="D568" s="13">
        <v>390337</v>
      </c>
      <c r="E568" s="13"/>
      <c r="F568" s="13">
        <v>200</v>
      </c>
      <c r="G568" s="13">
        <v>200</v>
      </c>
      <c r="H568" s="13"/>
      <c r="I568" s="13"/>
      <c r="J568" s="13"/>
      <c r="K568" s="13">
        <v>200</v>
      </c>
      <c r="L568" s="13"/>
      <c r="M568" s="13" t="s">
        <v>23</v>
      </c>
      <c r="N568" s="13">
        <f>IFERROR(VLOOKUP($A:$A,[1]KION_IND_E_COM_LT!$A:$T,18,0),"")</f>
        <v>0</v>
      </c>
      <c r="O568" s="14">
        <v>1</v>
      </c>
      <c r="P568" s="15">
        <f t="shared" si="8"/>
        <v>200</v>
      </c>
      <c r="Q568" s="16">
        <v>44109</v>
      </c>
      <c r="R568" s="17">
        <v>12</v>
      </c>
      <c r="S568" s="13" t="s">
        <v>0</v>
      </c>
    </row>
    <row r="569" spans="1:19" x14ac:dyDescent="0.25">
      <c r="A569" s="13">
        <v>982075321</v>
      </c>
      <c r="B569" s="27" t="s">
        <v>242</v>
      </c>
      <c r="C569" s="28">
        <v>0</v>
      </c>
      <c r="D569" s="13">
        <v>390337</v>
      </c>
      <c r="E569" s="13"/>
      <c r="F569" s="13">
        <v>300</v>
      </c>
      <c r="G569" s="13">
        <v>300</v>
      </c>
      <c r="H569" s="13"/>
      <c r="I569" s="13">
        <v>300</v>
      </c>
      <c r="J569" s="13"/>
      <c r="K569" s="13">
        <v>0</v>
      </c>
      <c r="L569" s="22" t="s">
        <v>21</v>
      </c>
      <c r="M569" s="13" t="s">
        <v>42</v>
      </c>
      <c r="N569" s="13" t="str">
        <f>IFERROR(VLOOKUP($A:$A,[1]KION_IND_E_COM_LT!$A:$T,18,0),"")</f>
        <v>07/08 - A</v>
      </c>
      <c r="O569" s="14"/>
      <c r="P569" s="15">
        <f t="shared" si="8"/>
        <v>0</v>
      </c>
      <c r="Q569" s="16"/>
      <c r="R569" s="17">
        <v>7</v>
      </c>
      <c r="S569" s="13" t="s">
        <v>0</v>
      </c>
    </row>
    <row r="570" spans="1:19" x14ac:dyDescent="0.25">
      <c r="A570" s="13">
        <v>982075322</v>
      </c>
      <c r="B570" s="27" t="s">
        <v>242</v>
      </c>
      <c r="C570" s="28">
        <v>0</v>
      </c>
      <c r="D570" s="13">
        <v>390337</v>
      </c>
      <c r="E570" s="13"/>
      <c r="F570" s="13">
        <v>200</v>
      </c>
      <c r="G570" s="13">
        <v>200</v>
      </c>
      <c r="H570" s="13"/>
      <c r="I570" s="13"/>
      <c r="J570" s="13"/>
      <c r="K570" s="13">
        <v>200</v>
      </c>
      <c r="L570" s="22" t="s">
        <v>21</v>
      </c>
      <c r="M570" s="13" t="s">
        <v>320</v>
      </c>
      <c r="N570" s="13">
        <f>IFERROR(VLOOKUP($A:$A,[1]KION_IND_E_COM_LT!$A:$T,18,0),"")</f>
        <v>0</v>
      </c>
      <c r="O570" s="14">
        <v>1</v>
      </c>
      <c r="P570" s="15">
        <f t="shared" si="8"/>
        <v>200</v>
      </c>
      <c r="Q570" s="16">
        <v>44074</v>
      </c>
      <c r="R570" s="17">
        <v>7</v>
      </c>
      <c r="S570" s="13" t="s">
        <v>0</v>
      </c>
    </row>
    <row r="571" spans="1:19" x14ac:dyDescent="0.25">
      <c r="A571" s="13">
        <v>982075323</v>
      </c>
      <c r="B571" s="27" t="s">
        <v>242</v>
      </c>
      <c r="C571" s="28">
        <v>0</v>
      </c>
      <c r="D571" s="13">
        <v>390337</v>
      </c>
      <c r="E571" s="13"/>
      <c r="F571" s="13">
        <v>160</v>
      </c>
      <c r="G571" s="13">
        <v>160</v>
      </c>
      <c r="H571" s="13"/>
      <c r="I571" s="13"/>
      <c r="J571" s="13"/>
      <c r="K571" s="13">
        <v>160</v>
      </c>
      <c r="L571" s="13"/>
      <c r="M571" s="13" t="s">
        <v>23</v>
      </c>
      <c r="N571" s="13">
        <f>IFERROR(VLOOKUP($A:$A,[1]KION_IND_E_COM_LT!$A:$T,18,0),"")</f>
        <v>0</v>
      </c>
      <c r="O571" s="14">
        <v>1</v>
      </c>
      <c r="P571" s="15">
        <f t="shared" si="8"/>
        <v>160</v>
      </c>
      <c r="Q571" s="16">
        <v>44088</v>
      </c>
      <c r="R571" s="17">
        <v>9</v>
      </c>
      <c r="S571" s="13" t="s">
        <v>0</v>
      </c>
    </row>
    <row r="572" spans="1:19" x14ac:dyDescent="0.25">
      <c r="A572" s="13">
        <v>982075331</v>
      </c>
      <c r="B572" s="27" t="s">
        <v>237</v>
      </c>
      <c r="C572" s="28">
        <v>1</v>
      </c>
      <c r="D572" s="13">
        <v>390337</v>
      </c>
      <c r="E572" s="13"/>
      <c r="F572" s="13">
        <v>250</v>
      </c>
      <c r="G572" s="13">
        <v>250</v>
      </c>
      <c r="H572" s="13"/>
      <c r="I572" s="13">
        <v>250</v>
      </c>
      <c r="J572" s="13"/>
      <c r="K572" s="13">
        <v>0</v>
      </c>
      <c r="L572" s="22" t="s">
        <v>21</v>
      </c>
      <c r="M572" s="13" t="s">
        <v>42</v>
      </c>
      <c r="N572" s="13" t="str">
        <f>IFERROR(VLOOKUP($A:$A,[1]KION_IND_E_COM_LT!$A:$T,18,0),"")</f>
        <v>06/08 - B</v>
      </c>
      <c r="O572" s="14"/>
      <c r="P572" s="15">
        <f t="shared" si="8"/>
        <v>0</v>
      </c>
      <c r="Q572" s="16"/>
      <c r="R572" s="17">
        <v>7</v>
      </c>
      <c r="S572" s="13" t="s">
        <v>0</v>
      </c>
    </row>
    <row r="573" spans="1:19" x14ac:dyDescent="0.25">
      <c r="A573" s="13">
        <v>982075332</v>
      </c>
      <c r="B573" s="27" t="s">
        <v>237</v>
      </c>
      <c r="C573" s="28">
        <v>1</v>
      </c>
      <c r="D573" s="13">
        <v>390337</v>
      </c>
      <c r="E573" s="13"/>
      <c r="F573" s="13">
        <v>200</v>
      </c>
      <c r="G573" s="13">
        <v>200</v>
      </c>
      <c r="H573" s="13"/>
      <c r="I573" s="13"/>
      <c r="J573" s="13"/>
      <c r="K573" s="13">
        <v>200</v>
      </c>
      <c r="L573" s="22" t="s">
        <v>21</v>
      </c>
      <c r="M573" s="13" t="s">
        <v>320</v>
      </c>
      <c r="N573" s="13">
        <f>IFERROR(VLOOKUP($A:$A,[1]KION_IND_E_COM_LT!$A:$T,18,0),"")</f>
        <v>0</v>
      </c>
      <c r="O573" s="14">
        <v>1</v>
      </c>
      <c r="P573" s="15">
        <f t="shared" si="8"/>
        <v>200</v>
      </c>
      <c r="Q573" s="16">
        <v>44074</v>
      </c>
      <c r="R573" s="17">
        <v>7</v>
      </c>
      <c r="S573" s="13" t="s">
        <v>0</v>
      </c>
    </row>
    <row r="574" spans="1:19" x14ac:dyDescent="0.25">
      <c r="A574" s="13">
        <v>982075333</v>
      </c>
      <c r="B574" s="27" t="s">
        <v>237</v>
      </c>
      <c r="C574" s="28">
        <v>1</v>
      </c>
      <c r="D574" s="13">
        <v>390337</v>
      </c>
      <c r="E574" s="13"/>
      <c r="F574" s="13">
        <v>200</v>
      </c>
      <c r="G574" s="13">
        <v>200</v>
      </c>
      <c r="H574" s="13"/>
      <c r="I574" s="13"/>
      <c r="J574" s="13"/>
      <c r="K574" s="13">
        <v>200</v>
      </c>
      <c r="L574" s="13"/>
      <c r="M574" s="13" t="s">
        <v>23</v>
      </c>
      <c r="N574" s="13">
        <f>IFERROR(VLOOKUP($A:$A,[1]KION_IND_E_COM_LT!$A:$T,18,0),"")</f>
        <v>0</v>
      </c>
      <c r="O574" s="14">
        <v>1</v>
      </c>
      <c r="P574" s="15">
        <f t="shared" si="8"/>
        <v>200</v>
      </c>
      <c r="Q574" s="16">
        <v>44088</v>
      </c>
      <c r="R574" s="17">
        <v>9</v>
      </c>
      <c r="S574" s="13" t="s">
        <v>0</v>
      </c>
    </row>
    <row r="575" spans="1:19" x14ac:dyDescent="0.25">
      <c r="A575" s="13">
        <v>982075381</v>
      </c>
      <c r="B575" s="27" t="s">
        <v>162</v>
      </c>
      <c r="C575" s="28">
        <v>0</v>
      </c>
      <c r="D575" s="13">
        <v>390337</v>
      </c>
      <c r="E575" s="13"/>
      <c r="F575" s="13">
        <v>260</v>
      </c>
      <c r="G575" s="13">
        <v>260</v>
      </c>
      <c r="H575" s="13"/>
      <c r="I575" s="13"/>
      <c r="J575" s="13"/>
      <c r="K575" s="13">
        <v>260</v>
      </c>
      <c r="L575" s="22" t="s">
        <v>21</v>
      </c>
      <c r="M575" s="13" t="s">
        <v>60</v>
      </c>
      <c r="N575" s="13">
        <f>IFERROR(VLOOKUP($A:$A,[1]KION_IND_E_COM_LT!$A:$T,18,0),"")</f>
        <v>0</v>
      </c>
      <c r="O575" s="14">
        <v>1</v>
      </c>
      <c r="P575" s="15">
        <f t="shared" si="8"/>
        <v>260</v>
      </c>
      <c r="Q575" s="16">
        <v>44074</v>
      </c>
      <c r="R575" s="17">
        <v>7</v>
      </c>
      <c r="S575" s="13" t="s">
        <v>0</v>
      </c>
    </row>
    <row r="576" spans="1:19" x14ac:dyDescent="0.25">
      <c r="A576" s="13">
        <v>982075382</v>
      </c>
      <c r="B576" s="27" t="s">
        <v>162</v>
      </c>
      <c r="C576" s="28">
        <v>0</v>
      </c>
      <c r="D576" s="13">
        <v>390337</v>
      </c>
      <c r="E576" s="13"/>
      <c r="F576" s="13">
        <v>250</v>
      </c>
      <c r="G576" s="13">
        <v>250</v>
      </c>
      <c r="H576" s="13"/>
      <c r="I576" s="13"/>
      <c r="J576" s="13"/>
      <c r="K576" s="13">
        <v>250</v>
      </c>
      <c r="L576" s="13"/>
      <c r="M576" s="13" t="s">
        <v>23</v>
      </c>
      <c r="N576" s="13">
        <f>IFERROR(VLOOKUP($A:$A,[1]KION_IND_E_COM_LT!$A:$T,18,0),"")</f>
        <v>0</v>
      </c>
      <c r="O576" s="14">
        <v>1</v>
      </c>
      <c r="P576" s="15">
        <f t="shared" si="8"/>
        <v>250</v>
      </c>
      <c r="Q576" s="16">
        <v>44095</v>
      </c>
      <c r="R576" s="17">
        <v>10</v>
      </c>
      <c r="S576" s="13" t="s">
        <v>0</v>
      </c>
    </row>
    <row r="577" spans="1:19" x14ac:dyDescent="0.25">
      <c r="A577" s="13">
        <v>982075383</v>
      </c>
      <c r="B577" s="27" t="s">
        <v>162</v>
      </c>
      <c r="C577" s="28">
        <v>0</v>
      </c>
      <c r="D577" s="13">
        <v>390337</v>
      </c>
      <c r="E577" s="13"/>
      <c r="F577" s="13">
        <v>180</v>
      </c>
      <c r="G577" s="13">
        <v>180</v>
      </c>
      <c r="H577" s="13"/>
      <c r="I577" s="13"/>
      <c r="J577" s="13"/>
      <c r="K577" s="13">
        <v>180</v>
      </c>
      <c r="L577" s="13"/>
      <c r="M577" s="13" t="s">
        <v>23</v>
      </c>
      <c r="N577" s="13">
        <f>IFERROR(VLOOKUP($A:$A,[1]KION_IND_E_COM_LT!$A:$T,18,0),"")</f>
        <v>0</v>
      </c>
      <c r="O577" s="14">
        <v>1</v>
      </c>
      <c r="P577" s="15">
        <f t="shared" si="8"/>
        <v>180</v>
      </c>
      <c r="Q577" s="16">
        <v>44116</v>
      </c>
      <c r="R577" s="17">
        <v>13</v>
      </c>
      <c r="S577" s="13" t="s">
        <v>0</v>
      </c>
    </row>
    <row r="578" spans="1:19" x14ac:dyDescent="0.25">
      <c r="A578" s="13">
        <v>982075441</v>
      </c>
      <c r="B578" s="27" t="s">
        <v>159</v>
      </c>
      <c r="C578" s="28">
        <v>1</v>
      </c>
      <c r="D578" s="13">
        <v>390337</v>
      </c>
      <c r="E578" s="13"/>
      <c r="F578" s="13">
        <v>200</v>
      </c>
      <c r="G578" s="13">
        <v>200</v>
      </c>
      <c r="H578" s="13"/>
      <c r="I578" s="13"/>
      <c r="J578" s="13"/>
      <c r="K578" s="13">
        <v>200</v>
      </c>
      <c r="L578" s="22" t="s">
        <v>21</v>
      </c>
      <c r="M578" s="13" t="s">
        <v>60</v>
      </c>
      <c r="N578" s="13">
        <f>IFERROR(VLOOKUP($A:$A,[1]KION_IND_E_COM_LT!$A:$T,18,0),"")</f>
        <v>0</v>
      </c>
      <c r="O578" s="14">
        <v>1</v>
      </c>
      <c r="P578" s="15">
        <f t="shared" si="8"/>
        <v>200</v>
      </c>
      <c r="Q578" s="16">
        <v>44074</v>
      </c>
      <c r="R578" s="17">
        <v>7</v>
      </c>
      <c r="S578" s="13" t="s">
        <v>0</v>
      </c>
    </row>
    <row r="579" spans="1:19" x14ac:dyDescent="0.25">
      <c r="A579" s="13">
        <v>982075442</v>
      </c>
      <c r="B579" s="27" t="s">
        <v>159</v>
      </c>
      <c r="C579" s="28">
        <v>1</v>
      </c>
      <c r="D579" s="13">
        <v>390337</v>
      </c>
      <c r="E579" s="13"/>
      <c r="F579" s="13">
        <v>250</v>
      </c>
      <c r="G579" s="13">
        <v>250</v>
      </c>
      <c r="H579" s="13"/>
      <c r="I579" s="13"/>
      <c r="J579" s="13"/>
      <c r="K579" s="13">
        <v>250</v>
      </c>
      <c r="L579" s="13"/>
      <c r="M579" s="13" t="s">
        <v>23</v>
      </c>
      <c r="N579" s="13">
        <f>IFERROR(VLOOKUP($A:$A,[1]KION_IND_E_COM_LT!$A:$T,18,0),"")</f>
        <v>0</v>
      </c>
      <c r="O579" s="14">
        <v>1</v>
      </c>
      <c r="P579" s="15">
        <f t="shared" ref="P579:P642" si="9">K579*O579</f>
        <v>250</v>
      </c>
      <c r="Q579" s="16">
        <v>44095</v>
      </c>
      <c r="R579" s="17">
        <v>10</v>
      </c>
      <c r="S579" s="13" t="s">
        <v>0</v>
      </c>
    </row>
    <row r="580" spans="1:19" x14ac:dyDescent="0.25">
      <c r="A580" s="13">
        <v>982075443</v>
      </c>
      <c r="B580" s="27" t="s">
        <v>159</v>
      </c>
      <c r="C580" s="28">
        <v>1</v>
      </c>
      <c r="D580" s="13">
        <v>390337</v>
      </c>
      <c r="E580" s="13"/>
      <c r="F580" s="13">
        <v>180</v>
      </c>
      <c r="G580" s="13">
        <v>180</v>
      </c>
      <c r="H580" s="13"/>
      <c r="I580" s="13"/>
      <c r="J580" s="13"/>
      <c r="K580" s="13">
        <v>180</v>
      </c>
      <c r="L580" s="13"/>
      <c r="M580" s="13" t="s">
        <v>23</v>
      </c>
      <c r="N580" s="13">
        <f>IFERROR(VLOOKUP($A:$A,[1]KION_IND_E_COM_LT!$A:$T,18,0),"")</f>
        <v>0</v>
      </c>
      <c r="O580" s="14">
        <v>1</v>
      </c>
      <c r="P580" s="15">
        <f t="shared" si="9"/>
        <v>180</v>
      </c>
      <c r="Q580" s="16">
        <v>44116</v>
      </c>
      <c r="R580" s="17">
        <v>13</v>
      </c>
      <c r="S580" s="13" t="s">
        <v>0</v>
      </c>
    </row>
    <row r="581" spans="1:19" x14ac:dyDescent="0.25">
      <c r="A581" s="13">
        <v>982075481</v>
      </c>
      <c r="B581" s="27" t="s">
        <v>160</v>
      </c>
      <c r="C581" s="28">
        <v>0</v>
      </c>
      <c r="D581" s="13">
        <v>390337</v>
      </c>
      <c r="E581" s="13"/>
      <c r="F581" s="13">
        <v>260</v>
      </c>
      <c r="G581" s="13">
        <v>260</v>
      </c>
      <c r="H581" s="13"/>
      <c r="I581" s="13"/>
      <c r="J581" s="13"/>
      <c r="K581" s="13">
        <v>260</v>
      </c>
      <c r="L581" s="22" t="s">
        <v>21</v>
      </c>
      <c r="M581" s="13" t="s">
        <v>60</v>
      </c>
      <c r="N581" s="13">
        <f>IFERROR(VLOOKUP($A:$A,[1]KION_IND_E_COM_LT!$A:$T,18,0),"")</f>
        <v>0</v>
      </c>
      <c r="O581" s="14">
        <v>1</v>
      </c>
      <c r="P581" s="15">
        <f t="shared" si="9"/>
        <v>260</v>
      </c>
      <c r="Q581" s="16">
        <v>44074</v>
      </c>
      <c r="R581" s="17">
        <v>7</v>
      </c>
      <c r="S581" s="13" t="s">
        <v>0</v>
      </c>
    </row>
    <row r="582" spans="1:19" x14ac:dyDescent="0.25">
      <c r="A582" s="13">
        <v>982075482</v>
      </c>
      <c r="B582" s="27" t="s">
        <v>160</v>
      </c>
      <c r="C582" s="28">
        <v>0</v>
      </c>
      <c r="D582" s="13">
        <v>390337</v>
      </c>
      <c r="E582" s="13"/>
      <c r="F582" s="13">
        <v>220</v>
      </c>
      <c r="G582" s="13">
        <v>220</v>
      </c>
      <c r="H582" s="13"/>
      <c r="I582" s="13"/>
      <c r="J582" s="13"/>
      <c r="K582" s="13">
        <v>220</v>
      </c>
      <c r="L582" s="13"/>
      <c r="M582" s="13" t="s">
        <v>23</v>
      </c>
      <c r="N582" s="13">
        <f>IFERROR(VLOOKUP($A:$A,[1]KION_IND_E_COM_LT!$A:$T,18,0),"")</f>
        <v>0</v>
      </c>
      <c r="O582" s="14">
        <v>1</v>
      </c>
      <c r="P582" s="15">
        <f t="shared" si="9"/>
        <v>220</v>
      </c>
      <c r="Q582" s="16">
        <v>44095</v>
      </c>
      <c r="R582" s="17">
        <v>10</v>
      </c>
      <c r="S582" s="13" t="s">
        <v>0</v>
      </c>
    </row>
    <row r="583" spans="1:19" x14ac:dyDescent="0.25">
      <c r="A583" s="13">
        <v>982075483</v>
      </c>
      <c r="B583" s="27" t="s">
        <v>160</v>
      </c>
      <c r="C583" s="28">
        <v>0</v>
      </c>
      <c r="D583" s="13">
        <v>390337</v>
      </c>
      <c r="E583" s="13"/>
      <c r="F583" s="13">
        <v>200</v>
      </c>
      <c r="G583" s="13">
        <v>200</v>
      </c>
      <c r="H583" s="13"/>
      <c r="I583" s="13"/>
      <c r="J583" s="13"/>
      <c r="K583" s="13">
        <v>200</v>
      </c>
      <c r="L583" s="13"/>
      <c r="M583" s="13" t="s">
        <v>23</v>
      </c>
      <c r="N583" s="13">
        <f>IFERROR(VLOOKUP($A:$A,[1]KION_IND_E_COM_LT!$A:$T,18,0),"")</f>
        <v>0</v>
      </c>
      <c r="O583" s="14">
        <v>1</v>
      </c>
      <c r="P583" s="15">
        <f t="shared" si="9"/>
        <v>200</v>
      </c>
      <c r="Q583" s="16">
        <v>44116</v>
      </c>
      <c r="R583" s="17">
        <v>13</v>
      </c>
      <c r="S583" s="13" t="s">
        <v>0</v>
      </c>
    </row>
    <row r="584" spans="1:19" x14ac:dyDescent="0.25">
      <c r="A584" s="13">
        <v>982079581</v>
      </c>
      <c r="B584" s="27" t="s">
        <v>281</v>
      </c>
      <c r="C584" s="29">
        <v>0</v>
      </c>
      <c r="D584" s="13">
        <v>390337</v>
      </c>
      <c r="E584" s="13"/>
      <c r="F584" s="13">
        <v>300</v>
      </c>
      <c r="G584" s="13">
        <v>300</v>
      </c>
      <c r="H584" s="13"/>
      <c r="I584" s="13"/>
      <c r="J584" s="13"/>
      <c r="K584" s="13">
        <v>300</v>
      </c>
      <c r="L584" s="22" t="s">
        <v>21</v>
      </c>
      <c r="M584" s="22"/>
      <c r="N584" s="13">
        <f>IFERROR(VLOOKUP($A:$A,[1]KION_IND_E_COM_LT!$A:$T,18,0),"")</f>
        <v>0</v>
      </c>
      <c r="O584" s="14">
        <v>1</v>
      </c>
      <c r="P584" s="15">
        <f t="shared" si="9"/>
        <v>300</v>
      </c>
      <c r="Q584" s="16">
        <v>44067</v>
      </c>
      <c r="R584" s="17">
        <v>6</v>
      </c>
      <c r="S584" s="13" t="s">
        <v>0</v>
      </c>
    </row>
    <row r="585" spans="1:19" x14ac:dyDescent="0.25">
      <c r="A585" s="13">
        <v>982079582</v>
      </c>
      <c r="B585" s="27" t="s">
        <v>281</v>
      </c>
      <c r="C585" s="28">
        <v>0</v>
      </c>
      <c r="D585" s="13">
        <v>390337</v>
      </c>
      <c r="E585" s="13"/>
      <c r="F585" s="13">
        <v>200</v>
      </c>
      <c r="G585" s="13">
        <v>200</v>
      </c>
      <c r="H585" s="13"/>
      <c r="I585" s="13"/>
      <c r="J585" s="13"/>
      <c r="K585" s="13">
        <v>200</v>
      </c>
      <c r="L585" s="22" t="s">
        <v>21</v>
      </c>
      <c r="M585" s="22"/>
      <c r="N585" s="13">
        <f>IFERROR(VLOOKUP($A:$A,[1]KION_IND_E_COM_LT!$A:$T,18,0),"")</f>
        <v>0</v>
      </c>
      <c r="O585" s="14">
        <v>1</v>
      </c>
      <c r="P585" s="15">
        <f t="shared" si="9"/>
        <v>200</v>
      </c>
      <c r="Q585" s="16">
        <v>44088</v>
      </c>
      <c r="R585" s="17">
        <v>9</v>
      </c>
      <c r="S585" s="13" t="s">
        <v>0</v>
      </c>
    </row>
    <row r="586" spans="1:19" x14ac:dyDescent="0.25">
      <c r="A586" s="13">
        <v>982079583</v>
      </c>
      <c r="B586" s="27" t="s">
        <v>281</v>
      </c>
      <c r="C586" s="28">
        <v>0</v>
      </c>
      <c r="D586" s="13">
        <v>390337</v>
      </c>
      <c r="E586" s="13"/>
      <c r="F586" s="13">
        <v>150</v>
      </c>
      <c r="G586" s="13">
        <v>150</v>
      </c>
      <c r="H586" s="13"/>
      <c r="I586" s="13"/>
      <c r="J586" s="13"/>
      <c r="K586" s="13">
        <v>150</v>
      </c>
      <c r="L586" s="13"/>
      <c r="M586" s="13" t="s">
        <v>23</v>
      </c>
      <c r="N586" s="13">
        <f>IFERROR(VLOOKUP($A:$A,[1]KION_IND_E_COM_LT!$A:$T,18,0),"")</f>
        <v>0</v>
      </c>
      <c r="O586" s="14">
        <v>1</v>
      </c>
      <c r="P586" s="15">
        <f t="shared" si="9"/>
        <v>150</v>
      </c>
      <c r="Q586" s="16">
        <v>44109</v>
      </c>
      <c r="R586" s="17">
        <v>12</v>
      </c>
      <c r="S586" s="13" t="s">
        <v>0</v>
      </c>
    </row>
    <row r="587" spans="1:19" x14ac:dyDescent="0.25">
      <c r="A587" s="13">
        <v>982079771</v>
      </c>
      <c r="B587" s="27" t="s">
        <v>161</v>
      </c>
      <c r="C587" s="28">
        <v>0</v>
      </c>
      <c r="D587" s="13">
        <v>390337</v>
      </c>
      <c r="E587" s="13"/>
      <c r="F587" s="13">
        <v>300</v>
      </c>
      <c r="G587" s="13">
        <v>300</v>
      </c>
      <c r="H587" s="13"/>
      <c r="I587" s="13"/>
      <c r="J587" s="13"/>
      <c r="K587" s="13">
        <v>300</v>
      </c>
      <c r="L587" s="22" t="s">
        <v>21</v>
      </c>
      <c r="M587" s="13" t="s">
        <v>320</v>
      </c>
      <c r="N587" s="13">
        <f>IFERROR(VLOOKUP($A:$A,[1]KION_IND_E_COM_LT!$A:$T,18,0),"")</f>
        <v>0</v>
      </c>
      <c r="O587" s="14">
        <v>1</v>
      </c>
      <c r="P587" s="15">
        <f t="shared" si="9"/>
        <v>300</v>
      </c>
      <c r="Q587" s="16">
        <v>44074</v>
      </c>
      <c r="R587" s="17">
        <v>7</v>
      </c>
      <c r="S587" s="13" t="s">
        <v>0</v>
      </c>
    </row>
    <row r="588" spans="1:19" x14ac:dyDescent="0.25">
      <c r="A588" s="13">
        <v>982079772</v>
      </c>
      <c r="B588" s="27" t="s">
        <v>161</v>
      </c>
      <c r="C588" s="28">
        <v>0</v>
      </c>
      <c r="D588" s="13">
        <v>390337</v>
      </c>
      <c r="E588" s="13"/>
      <c r="F588" s="13">
        <v>200</v>
      </c>
      <c r="G588" s="13">
        <v>200</v>
      </c>
      <c r="H588" s="13"/>
      <c r="I588" s="13"/>
      <c r="J588" s="13"/>
      <c r="K588" s="13">
        <v>200</v>
      </c>
      <c r="L588" s="13"/>
      <c r="M588" s="13" t="s">
        <v>23</v>
      </c>
      <c r="N588" s="13">
        <f>IFERROR(VLOOKUP($A:$A,[1]KION_IND_E_COM_LT!$A:$T,18,0),"")</f>
        <v>0</v>
      </c>
      <c r="O588" s="14">
        <v>1</v>
      </c>
      <c r="P588" s="15">
        <f t="shared" si="9"/>
        <v>200</v>
      </c>
      <c r="Q588" s="16">
        <v>44095</v>
      </c>
      <c r="R588" s="17">
        <v>10</v>
      </c>
      <c r="S588" s="13" t="s">
        <v>0</v>
      </c>
    </row>
    <row r="589" spans="1:19" x14ac:dyDescent="0.25">
      <c r="A589" s="13">
        <v>982079773</v>
      </c>
      <c r="B589" s="27" t="s">
        <v>161</v>
      </c>
      <c r="C589" s="28">
        <v>0</v>
      </c>
      <c r="D589" s="13">
        <v>390337</v>
      </c>
      <c r="E589" s="13"/>
      <c r="F589" s="13">
        <v>180</v>
      </c>
      <c r="G589" s="13">
        <v>180</v>
      </c>
      <c r="H589" s="13"/>
      <c r="I589" s="13"/>
      <c r="J589" s="13"/>
      <c r="K589" s="13">
        <v>180</v>
      </c>
      <c r="L589" s="13"/>
      <c r="M589" s="13" t="s">
        <v>23</v>
      </c>
      <c r="N589" s="13">
        <f>IFERROR(VLOOKUP($A:$A,[1]KION_IND_E_COM_LT!$A:$T,18,0),"")</f>
        <v>0</v>
      </c>
      <c r="O589" s="14">
        <v>1</v>
      </c>
      <c r="P589" s="15">
        <f t="shared" si="9"/>
        <v>180</v>
      </c>
      <c r="Q589" s="16">
        <v>44116</v>
      </c>
      <c r="R589" s="17">
        <v>13</v>
      </c>
      <c r="S589" s="13" t="s">
        <v>0</v>
      </c>
    </row>
    <row r="590" spans="1:19" x14ac:dyDescent="0.25">
      <c r="A590" s="13">
        <v>982079871</v>
      </c>
      <c r="B590" s="27" t="s">
        <v>309</v>
      </c>
      <c r="C590" s="28">
        <v>0</v>
      </c>
      <c r="D590" s="13">
        <v>390337</v>
      </c>
      <c r="E590" s="13"/>
      <c r="F590" s="13">
        <v>350</v>
      </c>
      <c r="G590" s="13">
        <v>350</v>
      </c>
      <c r="H590" s="13"/>
      <c r="I590" s="13"/>
      <c r="J590" s="13"/>
      <c r="K590" s="13">
        <v>350</v>
      </c>
      <c r="L590" s="13"/>
      <c r="M590" s="13" t="s">
        <v>23</v>
      </c>
      <c r="N590" s="13">
        <f>IFERROR(VLOOKUP($A:$A,[1]KION_IND_E_COM_LT!$A:$T,18,0),"")</f>
        <v>0</v>
      </c>
      <c r="O590" s="14">
        <v>1</v>
      </c>
      <c r="P590" s="15">
        <f t="shared" si="9"/>
        <v>350</v>
      </c>
      <c r="Q590" s="16" t="s">
        <v>3</v>
      </c>
      <c r="R590" s="17" t="s">
        <v>3</v>
      </c>
      <c r="S590" s="13" t="s">
        <v>0</v>
      </c>
    </row>
    <row r="591" spans="1:19" x14ac:dyDescent="0.25">
      <c r="A591" s="13">
        <v>982080131</v>
      </c>
      <c r="B591" s="27" t="s">
        <v>217</v>
      </c>
      <c r="C591" s="28">
        <v>0</v>
      </c>
      <c r="D591" s="13">
        <v>390337</v>
      </c>
      <c r="E591" s="13"/>
      <c r="F591" s="13">
        <v>90</v>
      </c>
      <c r="G591" s="13">
        <v>90</v>
      </c>
      <c r="H591" s="13"/>
      <c r="I591" s="13"/>
      <c r="J591" s="13"/>
      <c r="K591" s="13">
        <v>90</v>
      </c>
      <c r="L591" s="22" t="s">
        <v>21</v>
      </c>
      <c r="M591" s="13" t="s">
        <v>320</v>
      </c>
      <c r="N591" s="13">
        <f>IFERROR(VLOOKUP($A:$A,[1]KION_IND_E_COM_LT!$A:$T,18,0),"")</f>
        <v>0</v>
      </c>
      <c r="O591" s="14">
        <v>1</v>
      </c>
      <c r="P591" s="15">
        <f t="shared" si="9"/>
        <v>90</v>
      </c>
      <c r="Q591" s="16">
        <v>44067</v>
      </c>
      <c r="R591" s="17">
        <v>6</v>
      </c>
      <c r="S591" s="13" t="s">
        <v>0</v>
      </c>
    </row>
    <row r="592" spans="1:19" x14ac:dyDescent="0.25">
      <c r="A592" s="13">
        <v>982080151</v>
      </c>
      <c r="B592" s="27" t="s">
        <v>216</v>
      </c>
      <c r="C592" s="28">
        <v>0</v>
      </c>
      <c r="D592" s="13">
        <v>390337</v>
      </c>
      <c r="E592" s="13"/>
      <c r="F592" s="13">
        <v>90</v>
      </c>
      <c r="G592" s="13">
        <v>90</v>
      </c>
      <c r="H592" s="13"/>
      <c r="I592" s="13"/>
      <c r="J592" s="13"/>
      <c r="K592" s="13">
        <v>90</v>
      </c>
      <c r="L592" s="22" t="s">
        <v>21</v>
      </c>
      <c r="M592" s="13" t="s">
        <v>59</v>
      </c>
      <c r="N592" s="13">
        <f>IFERROR(VLOOKUP($A:$A,[1]KION_IND_E_COM_LT!$A:$T,18,0),"")</f>
        <v>0</v>
      </c>
      <c r="O592" s="14">
        <v>1</v>
      </c>
      <c r="P592" s="15">
        <f t="shared" si="9"/>
        <v>90</v>
      </c>
      <c r="Q592" s="16">
        <v>44067</v>
      </c>
      <c r="R592" s="17">
        <v>6</v>
      </c>
      <c r="S592" s="13" t="s">
        <v>0</v>
      </c>
    </row>
    <row r="593" spans="1:19" x14ac:dyDescent="0.25">
      <c r="A593" s="13">
        <v>982080171</v>
      </c>
      <c r="B593" s="27" t="s">
        <v>218</v>
      </c>
      <c r="C593" s="28">
        <v>0</v>
      </c>
      <c r="D593" s="13">
        <v>390337</v>
      </c>
      <c r="E593" s="13"/>
      <c r="F593" s="13">
        <v>90</v>
      </c>
      <c r="G593" s="13">
        <v>90</v>
      </c>
      <c r="H593" s="13"/>
      <c r="I593" s="13"/>
      <c r="J593" s="13"/>
      <c r="K593" s="13">
        <v>90</v>
      </c>
      <c r="L593" s="22" t="s">
        <v>21</v>
      </c>
      <c r="M593" s="13" t="s">
        <v>320</v>
      </c>
      <c r="N593" s="13">
        <f>IFERROR(VLOOKUP($A:$A,[1]KION_IND_E_COM_LT!$A:$T,18,0),"")</f>
        <v>0</v>
      </c>
      <c r="O593" s="14">
        <v>1</v>
      </c>
      <c r="P593" s="15">
        <f t="shared" si="9"/>
        <v>90</v>
      </c>
      <c r="Q593" s="16">
        <v>44067</v>
      </c>
      <c r="R593" s="17">
        <v>6</v>
      </c>
      <c r="S593" s="13" t="s">
        <v>0</v>
      </c>
    </row>
    <row r="594" spans="1:19" x14ac:dyDescent="0.25">
      <c r="A594" s="13">
        <v>982080231</v>
      </c>
      <c r="B594" s="27" t="s">
        <v>213</v>
      </c>
      <c r="C594" s="28">
        <v>0</v>
      </c>
      <c r="D594" s="13">
        <v>390337</v>
      </c>
      <c r="E594" s="13"/>
      <c r="F594" s="13">
        <v>90</v>
      </c>
      <c r="G594" s="13">
        <v>90</v>
      </c>
      <c r="H594" s="13"/>
      <c r="I594" s="13"/>
      <c r="J594" s="13"/>
      <c r="K594" s="13">
        <v>90</v>
      </c>
      <c r="L594" s="22" t="s">
        <v>21</v>
      </c>
      <c r="M594" s="13" t="s">
        <v>59</v>
      </c>
      <c r="N594" s="13">
        <f>IFERROR(VLOOKUP($A:$A,[1]KION_IND_E_COM_LT!$A:$T,18,0),"")</f>
        <v>0</v>
      </c>
      <c r="O594" s="14">
        <v>1</v>
      </c>
      <c r="P594" s="15">
        <f t="shared" si="9"/>
        <v>90</v>
      </c>
      <c r="Q594" s="16">
        <v>44067</v>
      </c>
      <c r="R594" s="17">
        <v>6</v>
      </c>
      <c r="S594" s="13" t="s">
        <v>0</v>
      </c>
    </row>
    <row r="595" spans="1:19" x14ac:dyDescent="0.25">
      <c r="A595" s="13">
        <v>982080241</v>
      </c>
      <c r="B595" s="27" t="s">
        <v>214</v>
      </c>
      <c r="C595" s="28">
        <v>0</v>
      </c>
      <c r="D595" s="13">
        <v>390337</v>
      </c>
      <c r="E595" s="13"/>
      <c r="F595" s="13">
        <v>90</v>
      </c>
      <c r="G595" s="13">
        <v>90</v>
      </c>
      <c r="H595" s="13"/>
      <c r="I595" s="13"/>
      <c r="J595" s="13"/>
      <c r="K595" s="13">
        <v>90</v>
      </c>
      <c r="L595" s="22" t="s">
        <v>21</v>
      </c>
      <c r="M595" s="13" t="s">
        <v>59</v>
      </c>
      <c r="N595" s="13">
        <f>IFERROR(VLOOKUP($A:$A,[1]KION_IND_E_COM_LT!$A:$T,18,0),"")</f>
        <v>0</v>
      </c>
      <c r="O595" s="14">
        <v>1</v>
      </c>
      <c r="P595" s="15">
        <f t="shared" si="9"/>
        <v>90</v>
      </c>
      <c r="Q595" s="16">
        <v>44067</v>
      </c>
      <c r="R595" s="17">
        <v>6</v>
      </c>
      <c r="S595" s="13" t="s">
        <v>0</v>
      </c>
    </row>
    <row r="596" spans="1:19" x14ac:dyDescent="0.25">
      <c r="A596" s="13">
        <v>982080261</v>
      </c>
      <c r="B596" s="27" t="s">
        <v>280</v>
      </c>
      <c r="C596" s="28">
        <v>0</v>
      </c>
      <c r="D596" s="13">
        <v>390337</v>
      </c>
      <c r="E596" s="13"/>
      <c r="F596" s="13">
        <v>90</v>
      </c>
      <c r="G596" s="13">
        <v>90</v>
      </c>
      <c r="H596" s="13"/>
      <c r="I596" s="13"/>
      <c r="J596" s="13"/>
      <c r="K596" s="13">
        <v>90</v>
      </c>
      <c r="L596" s="22" t="s">
        <v>21</v>
      </c>
      <c r="M596" s="13" t="s">
        <v>320</v>
      </c>
      <c r="N596" s="13">
        <f>IFERROR(VLOOKUP($A:$A,[1]KION_IND_E_COM_LT!$A:$T,18,0),"")</f>
        <v>0</v>
      </c>
      <c r="O596" s="14">
        <v>1</v>
      </c>
      <c r="P596" s="15">
        <f t="shared" si="9"/>
        <v>90</v>
      </c>
      <c r="Q596" s="16">
        <v>44067</v>
      </c>
      <c r="R596" s="17">
        <v>6</v>
      </c>
      <c r="S596" s="13" t="s">
        <v>0</v>
      </c>
    </row>
    <row r="597" spans="1:19" x14ac:dyDescent="0.25">
      <c r="A597" s="13">
        <v>982080341</v>
      </c>
      <c r="B597" s="27" t="s">
        <v>126</v>
      </c>
      <c r="C597" s="28">
        <v>1</v>
      </c>
      <c r="D597" s="13">
        <v>390337</v>
      </c>
      <c r="E597" s="13"/>
      <c r="F597" s="13">
        <v>90</v>
      </c>
      <c r="G597" s="13">
        <v>90</v>
      </c>
      <c r="H597" s="13"/>
      <c r="I597" s="13"/>
      <c r="J597" s="13"/>
      <c r="K597" s="13">
        <v>90</v>
      </c>
      <c r="L597" s="22" t="s">
        <v>21</v>
      </c>
      <c r="M597" s="13" t="s">
        <v>59</v>
      </c>
      <c r="N597" s="13">
        <f>IFERROR(VLOOKUP($A:$A,[1]KION_IND_E_COM_LT!$A:$T,18,0),"")</f>
        <v>0</v>
      </c>
      <c r="O597" s="14">
        <v>1</v>
      </c>
      <c r="P597" s="15">
        <f t="shared" si="9"/>
        <v>90</v>
      </c>
      <c r="Q597" s="16">
        <v>44067</v>
      </c>
      <c r="R597" s="17">
        <v>6</v>
      </c>
      <c r="S597" s="13" t="s">
        <v>0</v>
      </c>
    </row>
    <row r="598" spans="1:19" x14ac:dyDescent="0.25">
      <c r="A598" s="13">
        <v>982080351</v>
      </c>
      <c r="B598" s="27" t="s">
        <v>270</v>
      </c>
      <c r="C598" s="28">
        <v>1</v>
      </c>
      <c r="D598" s="13">
        <v>390337</v>
      </c>
      <c r="E598" s="13"/>
      <c r="F598" s="13">
        <v>220</v>
      </c>
      <c r="G598" s="13">
        <v>220</v>
      </c>
      <c r="H598" s="13"/>
      <c r="I598" s="13">
        <v>220</v>
      </c>
      <c r="J598" s="13"/>
      <c r="K598" s="13">
        <v>0</v>
      </c>
      <c r="L598" s="22" t="s">
        <v>21</v>
      </c>
      <c r="M598" s="13" t="s">
        <v>26</v>
      </c>
      <c r="N598" s="13" t="str">
        <f>IFERROR(VLOOKUP($A:$A,[1]KION_IND_E_COM_LT!$A:$T,18,0),"")</f>
        <v>10/08 - A</v>
      </c>
      <c r="O598" s="14"/>
      <c r="P598" s="15">
        <f t="shared" si="9"/>
        <v>0</v>
      </c>
      <c r="Q598" s="16"/>
      <c r="R598" s="17" t="s">
        <v>3</v>
      </c>
      <c r="S598" s="13" t="s">
        <v>0</v>
      </c>
    </row>
    <row r="599" spans="1:19" x14ac:dyDescent="0.25">
      <c r="A599" s="13">
        <v>982080391</v>
      </c>
      <c r="B599" s="27" t="s">
        <v>229</v>
      </c>
      <c r="C599" s="28">
        <v>1</v>
      </c>
      <c r="D599" s="13">
        <v>390337</v>
      </c>
      <c r="E599" s="13"/>
      <c r="F599" s="13">
        <v>90</v>
      </c>
      <c r="G599" s="13">
        <v>90</v>
      </c>
      <c r="H599" s="13"/>
      <c r="I599" s="13"/>
      <c r="J599" s="13"/>
      <c r="K599" s="13">
        <v>90</v>
      </c>
      <c r="L599" s="22" t="s">
        <v>21</v>
      </c>
      <c r="M599" s="13" t="s">
        <v>60</v>
      </c>
      <c r="N599" s="13">
        <f>IFERROR(VLOOKUP($A:$A,[1]KION_IND_E_COM_LT!$A:$T,18,0),"")</f>
        <v>0</v>
      </c>
      <c r="O599" s="14">
        <v>1</v>
      </c>
      <c r="P599" s="15">
        <f t="shared" si="9"/>
        <v>90</v>
      </c>
      <c r="Q599" s="16">
        <v>44067</v>
      </c>
      <c r="R599" s="17">
        <v>6</v>
      </c>
      <c r="S599" s="13" t="s">
        <v>0</v>
      </c>
    </row>
    <row r="600" spans="1:19" x14ac:dyDescent="0.25">
      <c r="A600" s="13">
        <v>982082671</v>
      </c>
      <c r="B600" s="27" t="s">
        <v>274</v>
      </c>
      <c r="C600" s="28">
        <v>0</v>
      </c>
      <c r="D600" s="13">
        <v>390337</v>
      </c>
      <c r="E600" s="13"/>
      <c r="F600" s="13">
        <v>100</v>
      </c>
      <c r="G600" s="13">
        <v>100</v>
      </c>
      <c r="H600" s="13"/>
      <c r="I600" s="13">
        <v>100</v>
      </c>
      <c r="J600" s="13"/>
      <c r="K600" s="13">
        <v>0</v>
      </c>
      <c r="L600" s="22" t="s">
        <v>21</v>
      </c>
      <c r="M600" s="13" t="s">
        <v>32</v>
      </c>
      <c r="N600" s="13">
        <f>IFERROR(VLOOKUP($A:$A,[1]KION_IND_E_COM_LT!$A:$T,18,0),"")</f>
        <v>0</v>
      </c>
      <c r="O600" s="14"/>
      <c r="P600" s="15">
        <f t="shared" si="9"/>
        <v>0</v>
      </c>
      <c r="Q600" s="16"/>
      <c r="R600" s="17" t="s">
        <v>3</v>
      </c>
      <c r="S600" s="13" t="s">
        <v>0</v>
      </c>
    </row>
    <row r="601" spans="1:19" x14ac:dyDescent="0.25">
      <c r="A601" s="13">
        <v>982082861</v>
      </c>
      <c r="B601" s="27" t="s">
        <v>175</v>
      </c>
      <c r="C601" s="28">
        <v>0</v>
      </c>
      <c r="D601" s="13">
        <v>390337</v>
      </c>
      <c r="E601" s="13"/>
      <c r="F601" s="13">
        <v>100</v>
      </c>
      <c r="G601" s="13">
        <v>100</v>
      </c>
      <c r="H601" s="13"/>
      <c r="I601" s="13"/>
      <c r="J601" s="13"/>
      <c r="K601" s="13">
        <v>100</v>
      </c>
      <c r="L601" s="13"/>
      <c r="M601" s="13" t="s">
        <v>23</v>
      </c>
      <c r="N601" s="13">
        <f>IFERROR(VLOOKUP($A:$A,[1]KION_IND_E_COM_LT!$A:$T,18,0),"")</f>
        <v>0</v>
      </c>
      <c r="O601" s="14">
        <v>1</v>
      </c>
      <c r="P601" s="15">
        <f t="shared" si="9"/>
        <v>100</v>
      </c>
      <c r="Q601" s="16">
        <v>44102</v>
      </c>
      <c r="R601" s="17">
        <v>11</v>
      </c>
      <c r="S601" s="13" t="s">
        <v>0</v>
      </c>
    </row>
    <row r="602" spans="1:19" x14ac:dyDescent="0.25">
      <c r="A602" s="13">
        <v>982082911</v>
      </c>
      <c r="B602" s="27" t="s">
        <v>273</v>
      </c>
      <c r="C602" s="28">
        <v>1</v>
      </c>
      <c r="D602" s="13">
        <v>390337</v>
      </c>
      <c r="E602" s="13"/>
      <c r="F602" s="13">
        <v>100</v>
      </c>
      <c r="G602" s="13">
        <v>100</v>
      </c>
      <c r="H602" s="13"/>
      <c r="I602" s="13">
        <v>100</v>
      </c>
      <c r="J602" s="13"/>
      <c r="K602" s="13">
        <v>0</v>
      </c>
      <c r="L602" s="22" t="s">
        <v>21</v>
      </c>
      <c r="M602" s="13" t="s">
        <v>32</v>
      </c>
      <c r="N602" s="13">
        <f>IFERROR(VLOOKUP($A:$A,[1]KION_IND_E_COM_LT!$A:$T,18,0),"")</f>
        <v>0</v>
      </c>
      <c r="O602" s="14"/>
      <c r="P602" s="15">
        <f t="shared" si="9"/>
        <v>0</v>
      </c>
      <c r="Q602" s="16"/>
      <c r="R602" s="17" t="s">
        <v>3</v>
      </c>
      <c r="S602" s="13" t="s">
        <v>0</v>
      </c>
    </row>
    <row r="603" spans="1:19" x14ac:dyDescent="0.25">
      <c r="A603" s="13">
        <v>982086541</v>
      </c>
      <c r="B603" s="27" t="s">
        <v>152</v>
      </c>
      <c r="C603" s="28">
        <v>0</v>
      </c>
      <c r="D603" s="13">
        <v>390337</v>
      </c>
      <c r="E603" s="13"/>
      <c r="F603" s="13">
        <v>50</v>
      </c>
      <c r="G603" s="13">
        <v>50</v>
      </c>
      <c r="H603" s="13"/>
      <c r="I603" s="13"/>
      <c r="J603" s="13"/>
      <c r="K603" s="13">
        <v>50</v>
      </c>
      <c r="L603" s="22" t="s">
        <v>21</v>
      </c>
      <c r="M603" s="13" t="s">
        <v>59</v>
      </c>
      <c r="N603" s="13">
        <f>IFERROR(VLOOKUP($A:$A,[1]KION_IND_E_COM_LT!$A:$T,18,0),"")</f>
        <v>0</v>
      </c>
      <c r="O603" s="14">
        <v>1</v>
      </c>
      <c r="P603" s="15">
        <f t="shared" si="9"/>
        <v>50</v>
      </c>
      <c r="Q603" s="16">
        <v>44081</v>
      </c>
      <c r="R603" s="17">
        <v>8</v>
      </c>
      <c r="S603" s="13" t="s">
        <v>0</v>
      </c>
    </row>
    <row r="604" spans="1:19" x14ac:dyDescent="0.25">
      <c r="A604" s="13">
        <v>982086551</v>
      </c>
      <c r="B604" s="27" t="s">
        <v>276</v>
      </c>
      <c r="C604" s="28">
        <v>2</v>
      </c>
      <c r="D604" s="13">
        <v>390337</v>
      </c>
      <c r="E604" s="13"/>
      <c r="F604" s="13">
        <v>30</v>
      </c>
      <c r="G604" s="13">
        <v>30</v>
      </c>
      <c r="H604" s="13"/>
      <c r="I604" s="13"/>
      <c r="J604" s="13">
        <v>30</v>
      </c>
      <c r="K604" s="13">
        <v>0</v>
      </c>
      <c r="L604" s="22" t="s">
        <v>21</v>
      </c>
      <c r="M604" s="13" t="s">
        <v>320</v>
      </c>
      <c r="N604" s="13">
        <f>IFERROR(VLOOKUP($A:$A,[1]KION_IND_E_COM_LT!$A:$T,18,0),"")</f>
        <v>0</v>
      </c>
      <c r="O604" s="14"/>
      <c r="P604" s="15">
        <f t="shared" si="9"/>
        <v>0</v>
      </c>
      <c r="Q604" s="16"/>
      <c r="R604" s="17" t="s">
        <v>3</v>
      </c>
      <c r="S604" s="13" t="s">
        <v>0</v>
      </c>
    </row>
    <row r="605" spans="1:19" x14ac:dyDescent="0.25">
      <c r="A605" s="13">
        <v>982087861</v>
      </c>
      <c r="B605" s="27" t="s">
        <v>155</v>
      </c>
      <c r="C605" s="28">
        <v>0</v>
      </c>
      <c r="D605" s="13">
        <v>390337</v>
      </c>
      <c r="E605" s="13"/>
      <c r="F605" s="13">
        <v>2500</v>
      </c>
      <c r="G605" s="13">
        <v>2500</v>
      </c>
      <c r="H605" s="13"/>
      <c r="I605" s="13">
        <v>2500</v>
      </c>
      <c r="J605" s="13"/>
      <c r="K605" s="13">
        <v>0</v>
      </c>
      <c r="L605" s="22" t="s">
        <v>21</v>
      </c>
      <c r="M605" s="13" t="s">
        <v>32</v>
      </c>
      <c r="N605" s="13" t="str">
        <f>IFERROR(VLOOKUP($A:$A,[1]KION_IND_E_COM_LT!$A:$T,18,0),"")</f>
        <v>06/08 - B</v>
      </c>
      <c r="O605" s="14"/>
      <c r="P605" s="15">
        <f t="shared" si="9"/>
        <v>0</v>
      </c>
      <c r="Q605" s="16"/>
      <c r="R605" s="17">
        <v>7</v>
      </c>
      <c r="S605" s="13" t="s">
        <v>0</v>
      </c>
    </row>
    <row r="606" spans="1:19" x14ac:dyDescent="0.25">
      <c r="A606" s="13">
        <v>982087941</v>
      </c>
      <c r="B606" s="27" t="s">
        <v>221</v>
      </c>
      <c r="C606" s="28">
        <v>1</v>
      </c>
      <c r="D606" s="13">
        <v>390337</v>
      </c>
      <c r="E606" s="13"/>
      <c r="F606" s="13">
        <v>90</v>
      </c>
      <c r="G606" s="13">
        <v>90</v>
      </c>
      <c r="H606" s="13"/>
      <c r="I606" s="13"/>
      <c r="J606" s="13"/>
      <c r="K606" s="13">
        <v>90</v>
      </c>
      <c r="L606" s="13"/>
      <c r="M606" s="13" t="s">
        <v>23</v>
      </c>
      <c r="N606" s="13">
        <f>IFERROR(VLOOKUP($A:$A,[1]KION_IND_E_COM_LT!$A:$T,18,0),"")</f>
        <v>0</v>
      </c>
      <c r="O606" s="14">
        <v>1</v>
      </c>
      <c r="P606" s="15">
        <f t="shared" si="9"/>
        <v>90</v>
      </c>
      <c r="Q606" s="16" t="s">
        <v>3</v>
      </c>
      <c r="R606" s="17" t="s">
        <v>3</v>
      </c>
      <c r="S606" s="13" t="s">
        <v>0</v>
      </c>
    </row>
    <row r="607" spans="1:19" x14ac:dyDescent="0.25">
      <c r="A607" s="13">
        <v>982088341</v>
      </c>
      <c r="B607" s="27" t="s">
        <v>156</v>
      </c>
      <c r="C607" s="28">
        <v>0</v>
      </c>
      <c r="D607" s="13">
        <v>390337</v>
      </c>
      <c r="E607" s="13"/>
      <c r="F607" s="13">
        <v>100</v>
      </c>
      <c r="G607" s="13">
        <v>100</v>
      </c>
      <c r="H607" s="13"/>
      <c r="I607" s="13"/>
      <c r="J607" s="13"/>
      <c r="K607" s="13">
        <v>100</v>
      </c>
      <c r="L607" s="13"/>
      <c r="M607" s="13"/>
      <c r="N607" s="13">
        <f>IFERROR(VLOOKUP($A:$A,[1]KION_IND_E_COM_LT!$A:$T,18,0),"")</f>
        <v>0</v>
      </c>
      <c r="O607" s="14">
        <v>1</v>
      </c>
      <c r="P607" s="15">
        <f t="shared" si="9"/>
        <v>100</v>
      </c>
      <c r="Q607" s="16">
        <v>44109</v>
      </c>
      <c r="R607" s="17">
        <v>12</v>
      </c>
      <c r="S607" s="13" t="s">
        <v>0</v>
      </c>
    </row>
    <row r="608" spans="1:19" x14ac:dyDescent="0.25">
      <c r="A608" s="13">
        <v>982088351</v>
      </c>
      <c r="B608" s="27" t="s">
        <v>157</v>
      </c>
      <c r="C608" s="28">
        <v>0</v>
      </c>
      <c r="D608" s="13">
        <v>390337</v>
      </c>
      <c r="E608" s="13"/>
      <c r="F608" s="13">
        <v>100</v>
      </c>
      <c r="G608" s="13">
        <v>100</v>
      </c>
      <c r="H608" s="13"/>
      <c r="I608" s="13"/>
      <c r="J608" s="13"/>
      <c r="K608" s="13">
        <v>100</v>
      </c>
      <c r="L608" s="13"/>
      <c r="M608" s="13" t="s">
        <v>23</v>
      </c>
      <c r="N608" s="13">
        <f>IFERROR(VLOOKUP($A:$A,[1]KION_IND_E_COM_LT!$A:$T,18,0),"")</f>
        <v>0</v>
      </c>
      <c r="O608" s="14">
        <v>1</v>
      </c>
      <c r="P608" s="15">
        <f t="shared" si="9"/>
        <v>100</v>
      </c>
      <c r="Q608" s="16">
        <v>44109</v>
      </c>
      <c r="R608" s="17">
        <v>12</v>
      </c>
      <c r="S608" s="13" t="s">
        <v>0</v>
      </c>
    </row>
    <row r="609" spans="1:19" x14ac:dyDescent="0.25">
      <c r="A609" s="13">
        <v>982088361</v>
      </c>
      <c r="B609" s="27" t="s">
        <v>224</v>
      </c>
      <c r="C609" s="28">
        <v>1</v>
      </c>
      <c r="D609" s="13">
        <v>390337</v>
      </c>
      <c r="E609" s="13"/>
      <c r="F609" s="13">
        <v>100</v>
      </c>
      <c r="G609" s="13">
        <v>100</v>
      </c>
      <c r="H609" s="13"/>
      <c r="I609" s="13"/>
      <c r="J609" s="13"/>
      <c r="K609" s="13">
        <v>100</v>
      </c>
      <c r="L609" s="13"/>
      <c r="M609" s="13" t="s">
        <v>23</v>
      </c>
      <c r="N609" s="13">
        <f>IFERROR(VLOOKUP($A:$A,[1]KION_IND_E_COM_LT!$A:$T,18,0),"")</f>
        <v>0</v>
      </c>
      <c r="O609" s="14">
        <v>1</v>
      </c>
      <c r="P609" s="15">
        <f t="shared" si="9"/>
        <v>100</v>
      </c>
      <c r="Q609" s="16">
        <v>44109</v>
      </c>
      <c r="R609" s="17">
        <v>12</v>
      </c>
      <c r="S609" s="13" t="s">
        <v>0</v>
      </c>
    </row>
    <row r="610" spans="1:19" x14ac:dyDescent="0.25">
      <c r="A610" s="13">
        <v>982088451</v>
      </c>
      <c r="B610" s="27" t="s">
        <v>232</v>
      </c>
      <c r="C610" s="28">
        <v>0</v>
      </c>
      <c r="D610" s="13">
        <v>390337</v>
      </c>
      <c r="E610" s="13"/>
      <c r="F610" s="13">
        <v>100</v>
      </c>
      <c r="G610" s="13">
        <v>100</v>
      </c>
      <c r="H610" s="13"/>
      <c r="I610" s="13"/>
      <c r="J610" s="13"/>
      <c r="K610" s="13">
        <v>100</v>
      </c>
      <c r="L610" s="13"/>
      <c r="M610" s="13" t="s">
        <v>23</v>
      </c>
      <c r="N610" s="13">
        <f>IFERROR(VLOOKUP($A:$A,[1]KION_IND_E_COM_LT!$A:$T,18,0),"")</f>
        <v>0</v>
      </c>
      <c r="O610" s="14">
        <v>1</v>
      </c>
      <c r="P610" s="15">
        <f t="shared" si="9"/>
        <v>100</v>
      </c>
      <c r="Q610" s="16">
        <v>44109</v>
      </c>
      <c r="R610" s="17">
        <v>12</v>
      </c>
      <c r="S610" s="13" t="s">
        <v>0</v>
      </c>
    </row>
    <row r="611" spans="1:19" x14ac:dyDescent="0.25">
      <c r="A611" s="13">
        <v>982088461</v>
      </c>
      <c r="B611" s="27" t="s">
        <v>233</v>
      </c>
      <c r="C611" s="28">
        <v>1</v>
      </c>
      <c r="D611" s="13">
        <v>390337</v>
      </c>
      <c r="E611" s="13"/>
      <c r="F611" s="13">
        <v>100</v>
      </c>
      <c r="G611" s="13">
        <v>100</v>
      </c>
      <c r="H611" s="13"/>
      <c r="I611" s="13"/>
      <c r="J611" s="13"/>
      <c r="K611" s="13">
        <v>100</v>
      </c>
      <c r="L611" s="13"/>
      <c r="M611" s="13" t="s">
        <v>23</v>
      </c>
      <c r="N611" s="13">
        <f>IFERROR(VLOOKUP($A:$A,[1]KION_IND_E_COM_LT!$A:$T,18,0),"")</f>
        <v>0</v>
      </c>
      <c r="O611" s="14">
        <v>1</v>
      </c>
      <c r="P611" s="15">
        <f t="shared" si="9"/>
        <v>100</v>
      </c>
      <c r="Q611" s="16">
        <v>44109</v>
      </c>
      <c r="R611" s="17">
        <v>12</v>
      </c>
      <c r="S611" s="13" t="s">
        <v>0</v>
      </c>
    </row>
    <row r="612" spans="1:19" x14ac:dyDescent="0.25">
      <c r="A612" s="13">
        <v>982088471</v>
      </c>
      <c r="B612" s="27" t="s">
        <v>271</v>
      </c>
      <c r="C612" s="28">
        <v>0</v>
      </c>
      <c r="D612" s="13">
        <v>390337</v>
      </c>
      <c r="E612" s="13"/>
      <c r="F612" s="13">
        <v>100</v>
      </c>
      <c r="G612" s="13">
        <v>100</v>
      </c>
      <c r="H612" s="13"/>
      <c r="I612" s="13"/>
      <c r="J612" s="13"/>
      <c r="K612" s="13">
        <v>100</v>
      </c>
      <c r="L612" s="13"/>
      <c r="M612" s="13" t="s">
        <v>23</v>
      </c>
      <c r="N612" s="13">
        <f>IFERROR(VLOOKUP($A:$A,[1]KION_IND_E_COM_LT!$A:$T,18,0),"")</f>
        <v>0</v>
      </c>
      <c r="O612" s="14">
        <v>1</v>
      </c>
      <c r="P612" s="15">
        <f t="shared" si="9"/>
        <v>100</v>
      </c>
      <c r="Q612" s="16">
        <v>44109</v>
      </c>
      <c r="R612" s="17">
        <v>12</v>
      </c>
      <c r="S612" s="13" t="s">
        <v>0</v>
      </c>
    </row>
    <row r="613" spans="1:19" x14ac:dyDescent="0.25">
      <c r="A613" s="13">
        <v>982088491</v>
      </c>
      <c r="B613" s="27" t="s">
        <v>234</v>
      </c>
      <c r="C613" s="28">
        <v>0</v>
      </c>
      <c r="D613" s="13">
        <v>390337</v>
      </c>
      <c r="E613" s="13"/>
      <c r="F613" s="13">
        <v>500</v>
      </c>
      <c r="G613" s="13">
        <v>500</v>
      </c>
      <c r="H613" s="13"/>
      <c r="I613" s="13"/>
      <c r="J613" s="13"/>
      <c r="K613" s="13">
        <v>500</v>
      </c>
      <c r="L613" s="13"/>
      <c r="M613" s="13" t="s">
        <v>23</v>
      </c>
      <c r="N613" s="13">
        <f>IFERROR(VLOOKUP($A:$A,[1]KION_IND_E_COM_LT!$A:$T,18,0),"")</f>
        <v>0</v>
      </c>
      <c r="O613" s="14">
        <v>1</v>
      </c>
      <c r="P613" s="15">
        <f t="shared" si="9"/>
        <v>500</v>
      </c>
      <c r="Q613" s="16">
        <v>44109</v>
      </c>
      <c r="R613" s="17">
        <v>12</v>
      </c>
      <c r="S613" s="13" t="s">
        <v>0</v>
      </c>
    </row>
    <row r="614" spans="1:19" x14ac:dyDescent="0.25">
      <c r="A614" s="13">
        <v>982088511</v>
      </c>
      <c r="B614" s="27" t="s">
        <v>235</v>
      </c>
      <c r="C614" s="28">
        <v>0</v>
      </c>
      <c r="D614" s="13">
        <v>390337</v>
      </c>
      <c r="E614" s="13"/>
      <c r="F614" s="13">
        <v>100</v>
      </c>
      <c r="G614" s="13">
        <v>100</v>
      </c>
      <c r="H614" s="13"/>
      <c r="I614" s="13"/>
      <c r="J614" s="13"/>
      <c r="K614" s="13">
        <v>100</v>
      </c>
      <c r="L614" s="13"/>
      <c r="M614" s="13" t="s">
        <v>23</v>
      </c>
      <c r="N614" s="13">
        <f>IFERROR(VLOOKUP($A:$A,[1]KION_IND_E_COM_LT!$A:$T,18,0),"")</f>
        <v>0</v>
      </c>
      <c r="O614" s="14">
        <v>1</v>
      </c>
      <c r="P614" s="15">
        <f t="shared" si="9"/>
        <v>100</v>
      </c>
      <c r="Q614" s="16">
        <v>44109</v>
      </c>
      <c r="R614" s="17">
        <v>12</v>
      </c>
      <c r="S614" s="13" t="s">
        <v>0</v>
      </c>
    </row>
    <row r="615" spans="1:19" x14ac:dyDescent="0.25">
      <c r="A615" s="13">
        <v>982088521</v>
      </c>
      <c r="B615" s="27" t="s">
        <v>158</v>
      </c>
      <c r="C615" s="28">
        <v>0</v>
      </c>
      <c r="D615" s="13">
        <v>390337</v>
      </c>
      <c r="E615" s="13"/>
      <c r="F615" s="13">
        <v>100</v>
      </c>
      <c r="G615" s="13">
        <v>100</v>
      </c>
      <c r="H615" s="13"/>
      <c r="I615" s="13"/>
      <c r="J615" s="13"/>
      <c r="K615" s="13">
        <v>100</v>
      </c>
      <c r="L615" s="13"/>
      <c r="M615" s="13" t="s">
        <v>23</v>
      </c>
      <c r="N615" s="13">
        <f>IFERROR(VLOOKUP($A:$A,[1]KION_IND_E_COM_LT!$A:$T,18,0),"")</f>
        <v>0</v>
      </c>
      <c r="O615" s="14">
        <v>1</v>
      </c>
      <c r="P615" s="15">
        <f t="shared" si="9"/>
        <v>100</v>
      </c>
      <c r="Q615" s="16">
        <v>44109</v>
      </c>
      <c r="R615" s="17">
        <v>12</v>
      </c>
      <c r="S615" s="13" t="s">
        <v>0</v>
      </c>
    </row>
    <row r="616" spans="1:19" x14ac:dyDescent="0.25">
      <c r="A616" s="13">
        <v>982088661</v>
      </c>
      <c r="B616" s="27" t="s">
        <v>142</v>
      </c>
      <c r="C616" s="28">
        <v>0</v>
      </c>
      <c r="D616" s="13">
        <v>390337</v>
      </c>
      <c r="E616" s="13"/>
      <c r="F616" s="13">
        <v>80</v>
      </c>
      <c r="G616" s="13">
        <v>80</v>
      </c>
      <c r="H616" s="13"/>
      <c r="I616" s="13"/>
      <c r="J616" s="13"/>
      <c r="K616" s="13">
        <v>80</v>
      </c>
      <c r="L616" s="13"/>
      <c r="M616" s="13" t="s">
        <v>23</v>
      </c>
      <c r="N616" s="13">
        <f>IFERROR(VLOOKUP($A:$A,[1]KION_IND_E_COM_LT!$A:$T,18,0),"")</f>
        <v>0</v>
      </c>
      <c r="O616" s="14">
        <v>1</v>
      </c>
      <c r="P616" s="15">
        <f t="shared" si="9"/>
        <v>80</v>
      </c>
      <c r="Q616" s="16" t="s">
        <v>3</v>
      </c>
      <c r="R616" s="17" t="s">
        <v>3</v>
      </c>
      <c r="S616" s="13" t="s">
        <v>0</v>
      </c>
    </row>
    <row r="617" spans="1:19" x14ac:dyDescent="0.25">
      <c r="A617" s="13">
        <v>982088681</v>
      </c>
      <c r="B617" s="27" t="s">
        <v>143</v>
      </c>
      <c r="C617" s="28">
        <v>0</v>
      </c>
      <c r="D617" s="13">
        <v>390337</v>
      </c>
      <c r="E617" s="13"/>
      <c r="F617" s="13">
        <v>1000</v>
      </c>
      <c r="G617" s="13">
        <v>1000</v>
      </c>
      <c r="H617" s="13"/>
      <c r="I617" s="13"/>
      <c r="J617" s="13"/>
      <c r="K617" s="13">
        <v>1000</v>
      </c>
      <c r="L617" s="13"/>
      <c r="M617" s="13" t="s">
        <v>23</v>
      </c>
      <c r="N617" s="13">
        <f>IFERROR(VLOOKUP($A:$A,[1]KION_IND_E_COM_LT!$A:$T,18,0),"")</f>
        <v>0</v>
      </c>
      <c r="O617" s="14">
        <v>1</v>
      </c>
      <c r="P617" s="15">
        <f t="shared" si="9"/>
        <v>1000</v>
      </c>
      <c r="Q617" s="16" t="s">
        <v>3</v>
      </c>
      <c r="R617" s="17" t="s">
        <v>3</v>
      </c>
      <c r="S617" s="13" t="s">
        <v>0</v>
      </c>
    </row>
    <row r="618" spans="1:19" x14ac:dyDescent="0.25">
      <c r="A618" s="13">
        <v>982088781</v>
      </c>
      <c r="B618" s="27" t="s">
        <v>82</v>
      </c>
      <c r="C618" s="28">
        <v>0</v>
      </c>
      <c r="D618" s="13">
        <v>390337</v>
      </c>
      <c r="E618" s="13"/>
      <c r="F618" s="13">
        <v>100</v>
      </c>
      <c r="G618" s="13">
        <v>100</v>
      </c>
      <c r="H618" s="13"/>
      <c r="I618" s="13"/>
      <c r="J618" s="13"/>
      <c r="K618" s="13">
        <v>100</v>
      </c>
      <c r="L618" s="13"/>
      <c r="M618" s="13" t="s">
        <v>23</v>
      </c>
      <c r="N618" s="13">
        <f>IFERROR(VLOOKUP($A:$A,[1]KION_IND_E_COM_LT!$A:$T,18,0),"")</f>
        <v>0</v>
      </c>
      <c r="O618" s="14">
        <v>1</v>
      </c>
      <c r="P618" s="15">
        <f t="shared" si="9"/>
        <v>100</v>
      </c>
      <c r="Q618" s="16" t="s">
        <v>3</v>
      </c>
      <c r="R618" s="17" t="s">
        <v>3</v>
      </c>
      <c r="S618" s="13" t="s">
        <v>0</v>
      </c>
    </row>
    <row r="619" spans="1:19" x14ac:dyDescent="0.25">
      <c r="A619" s="13">
        <v>982088782</v>
      </c>
      <c r="B619" s="27" t="s">
        <v>82</v>
      </c>
      <c r="C619" s="28">
        <v>0</v>
      </c>
      <c r="D619" s="13">
        <v>390337</v>
      </c>
      <c r="E619" s="13"/>
      <c r="F619" s="13">
        <v>100</v>
      </c>
      <c r="G619" s="13">
        <v>100</v>
      </c>
      <c r="H619" s="13"/>
      <c r="I619" s="13"/>
      <c r="J619" s="13"/>
      <c r="K619" s="13">
        <v>100</v>
      </c>
      <c r="L619" s="13"/>
      <c r="M619" s="13" t="s">
        <v>23</v>
      </c>
      <c r="N619" s="13">
        <f>IFERROR(VLOOKUP($A:$A,[1]KION_IND_E_COM_LT!$A:$T,18,0),"")</f>
        <v>0</v>
      </c>
      <c r="O619" s="14">
        <v>1</v>
      </c>
      <c r="P619" s="15">
        <f t="shared" si="9"/>
        <v>100</v>
      </c>
      <c r="Q619" s="16" t="s">
        <v>3</v>
      </c>
      <c r="R619" s="17" t="s">
        <v>3</v>
      </c>
      <c r="S619" s="13" t="s">
        <v>0</v>
      </c>
    </row>
    <row r="620" spans="1:19" x14ac:dyDescent="0.25">
      <c r="A620" s="13">
        <v>982088791</v>
      </c>
      <c r="B620" s="27" t="s">
        <v>100</v>
      </c>
      <c r="C620" s="28">
        <v>3</v>
      </c>
      <c r="D620" s="13">
        <v>390337</v>
      </c>
      <c r="E620" s="13"/>
      <c r="F620" s="13">
        <v>150</v>
      </c>
      <c r="G620" s="13">
        <v>150</v>
      </c>
      <c r="H620" s="13"/>
      <c r="I620" s="13"/>
      <c r="J620" s="13"/>
      <c r="K620" s="13">
        <v>150</v>
      </c>
      <c r="L620" s="13"/>
      <c r="M620" s="13" t="s">
        <v>23</v>
      </c>
      <c r="N620" s="13">
        <f>IFERROR(VLOOKUP($A:$A,[1]KION_IND_E_COM_LT!$A:$T,18,0),"")</f>
        <v>0</v>
      </c>
      <c r="O620" s="14">
        <v>1</v>
      </c>
      <c r="P620" s="15">
        <f t="shared" si="9"/>
        <v>150</v>
      </c>
      <c r="Q620" s="16" t="s">
        <v>3</v>
      </c>
      <c r="R620" s="17" t="s">
        <v>3</v>
      </c>
      <c r="S620" s="13" t="s">
        <v>0</v>
      </c>
    </row>
    <row r="621" spans="1:19" x14ac:dyDescent="0.25">
      <c r="A621" s="13">
        <v>982088811</v>
      </c>
      <c r="B621" s="27" t="s">
        <v>120</v>
      </c>
      <c r="C621" s="28">
        <v>8</v>
      </c>
      <c r="D621" s="13">
        <v>390337</v>
      </c>
      <c r="E621" s="13"/>
      <c r="F621" s="13">
        <v>100</v>
      </c>
      <c r="G621" s="13">
        <v>100</v>
      </c>
      <c r="H621" s="13"/>
      <c r="I621" s="13"/>
      <c r="J621" s="13"/>
      <c r="K621" s="13">
        <v>100</v>
      </c>
      <c r="L621" s="13"/>
      <c r="M621" s="13" t="s">
        <v>23</v>
      </c>
      <c r="N621" s="13">
        <f>IFERROR(VLOOKUP($A:$A,[1]KION_IND_E_COM_LT!$A:$T,18,0),"")</f>
        <v>0</v>
      </c>
      <c r="O621" s="14">
        <v>1</v>
      </c>
      <c r="P621" s="15">
        <f t="shared" si="9"/>
        <v>100</v>
      </c>
      <c r="Q621" s="16" t="s">
        <v>3</v>
      </c>
      <c r="R621" s="17" t="s">
        <v>3</v>
      </c>
      <c r="S621" s="13" t="s">
        <v>0</v>
      </c>
    </row>
    <row r="622" spans="1:19" x14ac:dyDescent="0.25">
      <c r="A622" s="13">
        <v>982088841</v>
      </c>
      <c r="B622" s="27" t="s">
        <v>185</v>
      </c>
      <c r="C622" s="28">
        <v>0</v>
      </c>
      <c r="D622" s="13">
        <v>390337</v>
      </c>
      <c r="E622" s="13"/>
      <c r="F622" s="13">
        <v>120</v>
      </c>
      <c r="G622" s="13">
        <v>120</v>
      </c>
      <c r="H622" s="13"/>
      <c r="I622" s="13"/>
      <c r="J622" s="13"/>
      <c r="K622" s="13">
        <v>120</v>
      </c>
      <c r="L622" s="13"/>
      <c r="M622" s="13" t="s">
        <v>23</v>
      </c>
      <c r="N622" s="13">
        <f>IFERROR(VLOOKUP($A:$A,[1]KION_IND_E_COM_LT!$A:$T,18,0),"")</f>
        <v>0</v>
      </c>
      <c r="O622" s="14">
        <v>1</v>
      </c>
      <c r="P622" s="15">
        <f t="shared" si="9"/>
        <v>120</v>
      </c>
      <c r="Q622" s="16" t="s">
        <v>3</v>
      </c>
      <c r="R622" s="17" t="s">
        <v>3</v>
      </c>
      <c r="S622" s="13" t="s">
        <v>0</v>
      </c>
    </row>
    <row r="623" spans="1:19" x14ac:dyDescent="0.25">
      <c r="A623" s="13">
        <v>982088951</v>
      </c>
      <c r="B623" s="27" t="s">
        <v>68</v>
      </c>
      <c r="C623" s="28">
        <v>0</v>
      </c>
      <c r="D623" s="13">
        <v>390337</v>
      </c>
      <c r="E623" s="13"/>
      <c r="F623" s="13">
        <v>200</v>
      </c>
      <c r="G623" s="13">
        <v>200</v>
      </c>
      <c r="H623" s="13"/>
      <c r="I623" s="13"/>
      <c r="J623" s="13"/>
      <c r="K623" s="13">
        <v>200</v>
      </c>
      <c r="L623" s="13"/>
      <c r="M623" s="13" t="s">
        <v>23</v>
      </c>
      <c r="N623" s="13">
        <f>IFERROR(VLOOKUP($A:$A,[1]KION_IND_E_COM_LT!$A:$T,18,0),"")</f>
        <v>0</v>
      </c>
      <c r="O623" s="14">
        <v>1</v>
      </c>
      <c r="P623" s="15">
        <f t="shared" si="9"/>
        <v>200</v>
      </c>
      <c r="Q623" s="16">
        <v>44081</v>
      </c>
      <c r="R623" s="17">
        <v>10</v>
      </c>
      <c r="S623" s="13" t="s">
        <v>0</v>
      </c>
    </row>
    <row r="624" spans="1:19" x14ac:dyDescent="0.25">
      <c r="A624" s="13">
        <v>982088952</v>
      </c>
      <c r="B624" s="27" t="s">
        <v>68</v>
      </c>
      <c r="C624" s="28">
        <v>0</v>
      </c>
      <c r="D624" s="13">
        <v>390337</v>
      </c>
      <c r="E624" s="13"/>
      <c r="F624" s="13">
        <v>200</v>
      </c>
      <c r="G624" s="13">
        <v>200</v>
      </c>
      <c r="H624" s="13"/>
      <c r="I624" s="13"/>
      <c r="J624" s="13"/>
      <c r="K624" s="13">
        <v>200</v>
      </c>
      <c r="L624" s="13"/>
      <c r="M624" s="13" t="s">
        <v>23</v>
      </c>
      <c r="N624" s="13">
        <f>IFERROR(VLOOKUP($A:$A,[1]KION_IND_E_COM_LT!$A:$T,18,0),"")</f>
        <v>0</v>
      </c>
      <c r="O624" s="14">
        <v>1</v>
      </c>
      <c r="P624" s="15">
        <f t="shared" si="9"/>
        <v>200</v>
      </c>
      <c r="Q624" s="16">
        <v>44081</v>
      </c>
      <c r="R624" s="17">
        <v>11</v>
      </c>
      <c r="S624" s="13" t="s">
        <v>0</v>
      </c>
    </row>
    <row r="625" spans="1:19" x14ac:dyDescent="0.25">
      <c r="A625" s="13">
        <v>982088961</v>
      </c>
      <c r="B625" s="27" t="s">
        <v>111</v>
      </c>
      <c r="C625" s="28">
        <v>4</v>
      </c>
      <c r="D625" s="13">
        <v>390337</v>
      </c>
      <c r="E625" s="13"/>
      <c r="F625" s="13">
        <v>150</v>
      </c>
      <c r="G625" s="13">
        <v>150</v>
      </c>
      <c r="H625" s="13"/>
      <c r="I625" s="13"/>
      <c r="J625" s="13"/>
      <c r="K625" s="13">
        <v>150</v>
      </c>
      <c r="L625" s="13"/>
      <c r="M625" s="13" t="s">
        <v>23</v>
      </c>
      <c r="N625" s="13">
        <f>IFERROR(VLOOKUP($A:$A,[1]KION_IND_E_COM_LT!$A:$T,18,0),"")</f>
        <v>0</v>
      </c>
      <c r="O625" s="14">
        <v>1</v>
      </c>
      <c r="P625" s="15">
        <f t="shared" si="9"/>
        <v>150</v>
      </c>
      <c r="Q625" s="16" t="s">
        <v>3</v>
      </c>
      <c r="R625" s="17" t="s">
        <v>3</v>
      </c>
      <c r="S625" s="13" t="s">
        <v>0</v>
      </c>
    </row>
    <row r="626" spans="1:19" x14ac:dyDescent="0.25">
      <c r="A626" s="13">
        <v>982088971</v>
      </c>
      <c r="B626" s="27" t="s">
        <v>194</v>
      </c>
      <c r="C626" s="28">
        <v>0</v>
      </c>
      <c r="D626" s="13">
        <v>390337</v>
      </c>
      <c r="E626" s="13"/>
      <c r="F626" s="13">
        <v>200</v>
      </c>
      <c r="G626" s="13">
        <v>200</v>
      </c>
      <c r="H626" s="13"/>
      <c r="I626" s="13"/>
      <c r="J626" s="13"/>
      <c r="K626" s="13">
        <v>200</v>
      </c>
      <c r="L626" s="13"/>
      <c r="M626" s="13" t="s">
        <v>23</v>
      </c>
      <c r="N626" s="13">
        <f>IFERROR(VLOOKUP($A:$A,[1]KION_IND_E_COM_LT!$A:$T,18,0),"")</f>
        <v>0</v>
      </c>
      <c r="O626" s="14">
        <v>1</v>
      </c>
      <c r="P626" s="15">
        <f t="shared" si="9"/>
        <v>200</v>
      </c>
      <c r="Q626" s="16" t="s">
        <v>3</v>
      </c>
      <c r="R626" s="17" t="s">
        <v>3</v>
      </c>
      <c r="S626" s="13" t="s">
        <v>0</v>
      </c>
    </row>
    <row r="627" spans="1:19" x14ac:dyDescent="0.25">
      <c r="A627" s="13">
        <v>982088981</v>
      </c>
      <c r="B627" s="27" t="s">
        <v>176</v>
      </c>
      <c r="C627" s="28">
        <v>1</v>
      </c>
      <c r="D627" s="13">
        <v>390337</v>
      </c>
      <c r="E627" s="13"/>
      <c r="F627" s="13">
        <v>100</v>
      </c>
      <c r="G627" s="13">
        <v>100</v>
      </c>
      <c r="H627" s="13"/>
      <c r="I627" s="13"/>
      <c r="J627" s="13"/>
      <c r="K627" s="13">
        <v>100</v>
      </c>
      <c r="L627" s="13"/>
      <c r="M627" s="13" t="s">
        <v>23</v>
      </c>
      <c r="N627" s="13">
        <f>IFERROR(VLOOKUP($A:$A,[1]KION_IND_E_COM_LT!$A:$T,18,0),"")</f>
        <v>0</v>
      </c>
      <c r="O627" s="14">
        <v>1</v>
      </c>
      <c r="P627" s="15">
        <f t="shared" si="9"/>
        <v>100</v>
      </c>
      <c r="Q627" s="16" t="s">
        <v>3</v>
      </c>
      <c r="R627" s="17" t="s">
        <v>3</v>
      </c>
      <c r="S627" s="13" t="s">
        <v>0</v>
      </c>
    </row>
    <row r="628" spans="1:19" x14ac:dyDescent="0.25">
      <c r="A628" s="13">
        <v>982088982</v>
      </c>
      <c r="B628" s="27" t="s">
        <v>176</v>
      </c>
      <c r="C628" s="28">
        <v>1</v>
      </c>
      <c r="D628" s="13">
        <v>390337</v>
      </c>
      <c r="E628" s="13"/>
      <c r="F628" s="13">
        <v>100</v>
      </c>
      <c r="G628" s="13">
        <v>100</v>
      </c>
      <c r="H628" s="13"/>
      <c r="I628" s="13"/>
      <c r="J628" s="13"/>
      <c r="K628" s="13">
        <v>100</v>
      </c>
      <c r="L628" s="13"/>
      <c r="M628" s="13" t="s">
        <v>23</v>
      </c>
      <c r="N628" s="13">
        <f>IFERROR(VLOOKUP($A:$A,[1]KION_IND_E_COM_LT!$A:$T,18,0),"")</f>
        <v>0</v>
      </c>
      <c r="O628" s="14">
        <v>1</v>
      </c>
      <c r="P628" s="15">
        <f t="shared" si="9"/>
        <v>100</v>
      </c>
      <c r="Q628" s="16" t="s">
        <v>3</v>
      </c>
      <c r="R628" s="17" t="s">
        <v>3</v>
      </c>
      <c r="S628" s="13" t="s">
        <v>0</v>
      </c>
    </row>
    <row r="629" spans="1:19" x14ac:dyDescent="0.25">
      <c r="A629" s="13">
        <v>982089081</v>
      </c>
      <c r="B629" s="27" t="s">
        <v>278</v>
      </c>
      <c r="C629" s="28">
        <v>0</v>
      </c>
      <c r="D629" s="13">
        <v>390337</v>
      </c>
      <c r="E629" s="13"/>
      <c r="F629" s="13">
        <v>100</v>
      </c>
      <c r="G629" s="13">
        <v>100</v>
      </c>
      <c r="H629" s="13"/>
      <c r="I629" s="13"/>
      <c r="J629" s="13"/>
      <c r="K629" s="13">
        <v>100</v>
      </c>
      <c r="L629" s="13"/>
      <c r="M629" s="13" t="s">
        <v>23</v>
      </c>
      <c r="N629" s="13">
        <f>IFERROR(VLOOKUP($A:$A,[1]KION_IND_E_COM_LT!$A:$T,18,0),"")</f>
        <v>0</v>
      </c>
      <c r="O629" s="14">
        <v>1</v>
      </c>
      <c r="P629" s="15">
        <f t="shared" si="9"/>
        <v>100</v>
      </c>
      <c r="Q629" s="16">
        <v>44109</v>
      </c>
      <c r="R629" s="17">
        <v>12</v>
      </c>
      <c r="S629" s="13" t="s">
        <v>0</v>
      </c>
    </row>
    <row r="630" spans="1:19" x14ac:dyDescent="0.25">
      <c r="A630" s="13">
        <v>982089191</v>
      </c>
      <c r="B630" s="27" t="s">
        <v>272</v>
      </c>
      <c r="C630" s="28">
        <v>0</v>
      </c>
      <c r="D630" s="13">
        <v>390337</v>
      </c>
      <c r="E630" s="13"/>
      <c r="F630" s="13">
        <v>200</v>
      </c>
      <c r="G630" s="13">
        <v>150</v>
      </c>
      <c r="H630" s="13"/>
      <c r="I630" s="13">
        <v>150</v>
      </c>
      <c r="J630" s="13"/>
      <c r="K630" s="13">
        <v>0</v>
      </c>
      <c r="L630" s="22" t="s">
        <v>21</v>
      </c>
      <c r="M630" s="13" t="s">
        <v>35</v>
      </c>
      <c r="N630" s="13">
        <f>IFERROR(VLOOKUP($A:$A,[1]KION_IND_E_COM_LT!$A:$T,18,0),"")</f>
        <v>0</v>
      </c>
      <c r="O630" s="14"/>
      <c r="P630" s="15">
        <f t="shared" si="9"/>
        <v>0</v>
      </c>
      <c r="Q630" s="16"/>
      <c r="R630" s="17" t="s">
        <v>3</v>
      </c>
      <c r="S630" s="13" t="s">
        <v>0</v>
      </c>
    </row>
    <row r="631" spans="1:19" x14ac:dyDescent="0.25">
      <c r="A631" s="13">
        <v>982089201</v>
      </c>
      <c r="B631" s="27" t="s">
        <v>145</v>
      </c>
      <c r="C631" s="28">
        <v>1</v>
      </c>
      <c r="D631" s="13">
        <v>390337</v>
      </c>
      <c r="E631" s="13"/>
      <c r="F631" s="13">
        <v>100</v>
      </c>
      <c r="G631" s="13">
        <v>100</v>
      </c>
      <c r="H631" s="13"/>
      <c r="I631" s="13"/>
      <c r="J631" s="13"/>
      <c r="K631" s="13">
        <v>100</v>
      </c>
      <c r="L631" s="13"/>
      <c r="M631" s="13" t="s">
        <v>23</v>
      </c>
      <c r="N631" s="13">
        <f>IFERROR(VLOOKUP($A:$A,[1]KION_IND_E_COM_LT!$A:$T,18,0),"")</f>
        <v>0</v>
      </c>
      <c r="O631" s="14">
        <v>1</v>
      </c>
      <c r="P631" s="15">
        <f t="shared" si="9"/>
        <v>100</v>
      </c>
      <c r="Q631" s="16">
        <v>44116</v>
      </c>
      <c r="R631" s="17">
        <v>13</v>
      </c>
      <c r="S631" s="13" t="s">
        <v>0</v>
      </c>
    </row>
    <row r="632" spans="1:19" x14ac:dyDescent="0.25">
      <c r="A632" s="13">
        <v>982089241</v>
      </c>
      <c r="B632" s="27" t="s">
        <v>237</v>
      </c>
      <c r="C632" s="28">
        <v>1</v>
      </c>
      <c r="D632" s="13">
        <v>390337</v>
      </c>
      <c r="E632" s="13"/>
      <c r="F632" s="13">
        <v>120</v>
      </c>
      <c r="G632" s="13">
        <v>120</v>
      </c>
      <c r="H632" s="13"/>
      <c r="I632" s="13"/>
      <c r="J632" s="13"/>
      <c r="K632" s="13">
        <v>120</v>
      </c>
      <c r="L632" s="13"/>
      <c r="M632" s="13" t="s">
        <v>23</v>
      </c>
      <c r="N632" s="13">
        <f>IFERROR(VLOOKUP($A:$A,[1]KION_IND_E_COM_LT!$A:$T,18,0),"")</f>
        <v>0</v>
      </c>
      <c r="O632" s="14">
        <v>1</v>
      </c>
      <c r="P632" s="15">
        <f t="shared" si="9"/>
        <v>120</v>
      </c>
      <c r="Q632" s="16">
        <v>44109</v>
      </c>
      <c r="R632" s="17">
        <v>12</v>
      </c>
      <c r="S632" s="13" t="s">
        <v>0</v>
      </c>
    </row>
    <row r="633" spans="1:19" x14ac:dyDescent="0.25">
      <c r="A633" s="13">
        <v>982089291</v>
      </c>
      <c r="B633" s="27" t="s">
        <v>236</v>
      </c>
      <c r="C633" s="28">
        <v>1</v>
      </c>
      <c r="D633" s="13">
        <v>390337</v>
      </c>
      <c r="E633" s="13"/>
      <c r="F633" s="13">
        <v>100</v>
      </c>
      <c r="G633" s="13">
        <v>100</v>
      </c>
      <c r="H633" s="13"/>
      <c r="I633" s="13"/>
      <c r="J633" s="13"/>
      <c r="K633" s="13">
        <v>100</v>
      </c>
      <c r="L633" s="13"/>
      <c r="M633" s="13" t="s">
        <v>23</v>
      </c>
      <c r="N633" s="13">
        <f>IFERROR(VLOOKUP($A:$A,[1]KION_IND_E_COM_LT!$A:$T,18,0),"")</f>
        <v>0</v>
      </c>
      <c r="O633" s="14">
        <v>1</v>
      </c>
      <c r="P633" s="15">
        <f t="shared" si="9"/>
        <v>100</v>
      </c>
      <c r="Q633" s="16">
        <v>44109</v>
      </c>
      <c r="R633" s="17">
        <v>12</v>
      </c>
      <c r="S633" s="13" t="s">
        <v>0</v>
      </c>
    </row>
    <row r="634" spans="1:19" x14ac:dyDescent="0.25">
      <c r="A634" s="13">
        <v>982089301</v>
      </c>
      <c r="B634" s="27" t="s">
        <v>241</v>
      </c>
      <c r="C634" s="28">
        <v>1</v>
      </c>
      <c r="D634" s="13">
        <v>390337</v>
      </c>
      <c r="E634" s="13"/>
      <c r="F634" s="13">
        <v>100</v>
      </c>
      <c r="G634" s="13">
        <v>100</v>
      </c>
      <c r="H634" s="13"/>
      <c r="I634" s="13"/>
      <c r="J634" s="13"/>
      <c r="K634" s="13">
        <v>100</v>
      </c>
      <c r="L634" s="13"/>
      <c r="M634" s="13" t="s">
        <v>23</v>
      </c>
      <c r="N634" s="13">
        <f>IFERROR(VLOOKUP($A:$A,[1]KION_IND_E_COM_LT!$A:$T,18,0),"")</f>
        <v>0</v>
      </c>
      <c r="O634" s="14">
        <v>1</v>
      </c>
      <c r="P634" s="15">
        <f t="shared" si="9"/>
        <v>100</v>
      </c>
      <c r="Q634" s="16">
        <v>44109</v>
      </c>
      <c r="R634" s="17">
        <v>12</v>
      </c>
      <c r="S634" s="13" t="s">
        <v>0</v>
      </c>
    </row>
    <row r="635" spans="1:19" x14ac:dyDescent="0.25">
      <c r="A635" s="13">
        <v>982089311</v>
      </c>
      <c r="B635" s="27" t="s">
        <v>275</v>
      </c>
      <c r="C635" s="28">
        <v>0</v>
      </c>
      <c r="D635" s="13">
        <v>390337</v>
      </c>
      <c r="E635" s="13"/>
      <c r="F635" s="13">
        <v>110</v>
      </c>
      <c r="G635" s="13">
        <v>90</v>
      </c>
      <c r="H635" s="13"/>
      <c r="I635" s="13"/>
      <c r="J635" s="13">
        <v>90</v>
      </c>
      <c r="K635" s="13">
        <v>0</v>
      </c>
      <c r="L635" s="22" t="s">
        <v>21</v>
      </c>
      <c r="M635" s="13" t="s">
        <v>320</v>
      </c>
      <c r="N635" s="13">
        <f>IFERROR(VLOOKUP($A:$A,[1]KION_IND_E_COM_LT!$A:$T,18,0),"")</f>
        <v>0</v>
      </c>
      <c r="O635" s="14"/>
      <c r="P635" s="15">
        <f t="shared" si="9"/>
        <v>0</v>
      </c>
      <c r="Q635" s="16"/>
      <c r="R635" s="17" t="s">
        <v>3</v>
      </c>
      <c r="S635" s="13" t="s">
        <v>0</v>
      </c>
    </row>
    <row r="636" spans="1:19" x14ac:dyDescent="0.25">
      <c r="A636" s="13">
        <v>982089331</v>
      </c>
      <c r="B636" s="27" t="s">
        <v>148</v>
      </c>
      <c r="C636" s="28">
        <v>0</v>
      </c>
      <c r="D636" s="13">
        <v>390337</v>
      </c>
      <c r="E636" s="13"/>
      <c r="F636" s="13">
        <v>100</v>
      </c>
      <c r="G636" s="13">
        <v>100</v>
      </c>
      <c r="H636" s="13"/>
      <c r="I636" s="13"/>
      <c r="J636" s="13"/>
      <c r="K636" s="13">
        <v>100</v>
      </c>
      <c r="L636" s="13"/>
      <c r="M636" s="13" t="s">
        <v>23</v>
      </c>
      <c r="N636" s="13">
        <f>IFERROR(VLOOKUP($A:$A,[1]KION_IND_E_COM_LT!$A:$T,18,0),"")</f>
        <v>0</v>
      </c>
      <c r="O636" s="14">
        <v>1</v>
      </c>
      <c r="P636" s="15">
        <f t="shared" si="9"/>
        <v>100</v>
      </c>
      <c r="Q636" s="16">
        <v>44116</v>
      </c>
      <c r="R636" s="17">
        <v>13</v>
      </c>
      <c r="S636" s="13" t="s">
        <v>0</v>
      </c>
    </row>
    <row r="637" spans="1:19" x14ac:dyDescent="0.25">
      <c r="A637" s="13">
        <v>982089341</v>
      </c>
      <c r="B637" s="27" t="s">
        <v>165</v>
      </c>
      <c r="C637" s="28">
        <v>0</v>
      </c>
      <c r="D637" s="13">
        <v>390337</v>
      </c>
      <c r="E637" s="13"/>
      <c r="F637" s="13">
        <v>450</v>
      </c>
      <c r="G637" s="13">
        <v>450</v>
      </c>
      <c r="H637" s="13"/>
      <c r="I637" s="13"/>
      <c r="J637" s="13"/>
      <c r="K637" s="13">
        <v>450</v>
      </c>
      <c r="L637" s="13"/>
      <c r="M637" s="13" t="s">
        <v>23</v>
      </c>
      <c r="N637" s="13">
        <f>IFERROR(VLOOKUP($A:$A,[1]KION_IND_E_COM_LT!$A:$T,18,0),"")</f>
        <v>0</v>
      </c>
      <c r="O637" s="14">
        <v>1</v>
      </c>
      <c r="P637" s="15">
        <f t="shared" si="9"/>
        <v>450</v>
      </c>
      <c r="Q637" s="16" t="s">
        <v>3</v>
      </c>
      <c r="R637" s="17" t="s">
        <v>3</v>
      </c>
      <c r="S637" s="13" t="s">
        <v>0</v>
      </c>
    </row>
    <row r="638" spans="1:19" x14ac:dyDescent="0.25">
      <c r="A638" s="13">
        <v>982089381</v>
      </c>
      <c r="B638" s="27" t="s">
        <v>302</v>
      </c>
      <c r="C638" s="28">
        <v>0</v>
      </c>
      <c r="D638" s="13">
        <v>390337</v>
      </c>
      <c r="E638" s="13"/>
      <c r="F638" s="13">
        <v>200</v>
      </c>
      <c r="G638" s="13">
        <v>200</v>
      </c>
      <c r="H638" s="13"/>
      <c r="I638" s="13"/>
      <c r="J638" s="13"/>
      <c r="K638" s="13">
        <v>200</v>
      </c>
      <c r="L638" s="13"/>
      <c r="M638" s="13" t="s">
        <v>23</v>
      </c>
      <c r="N638" s="13">
        <f>IFERROR(VLOOKUP($A:$A,[1]KION_IND_E_COM_LT!$A:$T,18,0),"")</f>
        <v>0</v>
      </c>
      <c r="O638" s="14">
        <v>1</v>
      </c>
      <c r="P638" s="15">
        <f t="shared" si="9"/>
        <v>200</v>
      </c>
      <c r="Q638" s="16" t="s">
        <v>3</v>
      </c>
      <c r="R638" s="17" t="s">
        <v>3</v>
      </c>
      <c r="S638" s="13" t="s">
        <v>0</v>
      </c>
    </row>
    <row r="639" spans="1:19" x14ac:dyDescent="0.25">
      <c r="A639" s="13">
        <v>982089391</v>
      </c>
      <c r="B639" s="27" t="s">
        <v>151</v>
      </c>
      <c r="C639" s="28">
        <v>2</v>
      </c>
      <c r="D639" s="13">
        <v>390337</v>
      </c>
      <c r="E639" s="13"/>
      <c r="F639" s="13">
        <v>200</v>
      </c>
      <c r="G639" s="13">
        <v>200</v>
      </c>
      <c r="H639" s="13"/>
      <c r="I639" s="13"/>
      <c r="J639" s="13"/>
      <c r="K639" s="13">
        <v>200</v>
      </c>
      <c r="L639" s="13"/>
      <c r="M639" s="13" t="s">
        <v>23</v>
      </c>
      <c r="N639" s="13">
        <f>IFERROR(VLOOKUP($A:$A,[1]KION_IND_E_COM_LT!$A:$T,18,0),"")</f>
        <v>0</v>
      </c>
      <c r="O639" s="14">
        <v>1</v>
      </c>
      <c r="P639" s="15">
        <f t="shared" si="9"/>
        <v>200</v>
      </c>
      <c r="Q639" s="16" t="s">
        <v>3</v>
      </c>
      <c r="R639" s="17" t="s">
        <v>3</v>
      </c>
      <c r="S639" s="13" t="s">
        <v>0</v>
      </c>
    </row>
    <row r="640" spans="1:19" x14ac:dyDescent="0.25">
      <c r="A640" s="13">
        <v>982089571</v>
      </c>
      <c r="B640" s="27" t="s">
        <v>304</v>
      </c>
      <c r="C640" s="28">
        <v>0</v>
      </c>
      <c r="D640" s="13">
        <v>390337</v>
      </c>
      <c r="E640" s="13"/>
      <c r="F640" s="13">
        <v>100</v>
      </c>
      <c r="G640" s="13">
        <v>100</v>
      </c>
      <c r="H640" s="13"/>
      <c r="I640" s="13"/>
      <c r="J640" s="13"/>
      <c r="K640" s="13">
        <v>100</v>
      </c>
      <c r="L640" s="22" t="s">
        <v>21</v>
      </c>
      <c r="M640" s="13" t="s">
        <v>320</v>
      </c>
      <c r="N640" s="13">
        <f>IFERROR(VLOOKUP($A:$A,[1]KION_IND_E_COM_LT!$A:$T,18,0),"")</f>
        <v>0</v>
      </c>
      <c r="O640" s="14">
        <v>1</v>
      </c>
      <c r="P640" s="15">
        <f t="shared" si="9"/>
        <v>100</v>
      </c>
      <c r="Q640" s="16">
        <v>44074</v>
      </c>
      <c r="R640" s="17">
        <v>7</v>
      </c>
      <c r="S640" s="13" t="s">
        <v>0</v>
      </c>
    </row>
    <row r="641" spans="1:19" x14ac:dyDescent="0.25">
      <c r="A641" s="13">
        <v>982089581</v>
      </c>
      <c r="B641" s="27" t="s">
        <v>285</v>
      </c>
      <c r="C641" s="28">
        <v>1</v>
      </c>
      <c r="D641" s="13">
        <v>390337</v>
      </c>
      <c r="E641" s="13"/>
      <c r="F641" s="13">
        <v>100</v>
      </c>
      <c r="G641" s="13">
        <v>100</v>
      </c>
      <c r="H641" s="13"/>
      <c r="I641" s="13"/>
      <c r="J641" s="13"/>
      <c r="K641" s="13">
        <v>100</v>
      </c>
      <c r="L641" s="13"/>
      <c r="M641" s="13" t="s">
        <v>23</v>
      </c>
      <c r="N641" s="13">
        <f>IFERROR(VLOOKUP($A:$A,[1]KION_IND_E_COM_LT!$A:$T,18,0),"")</f>
        <v>0</v>
      </c>
      <c r="O641" s="14">
        <v>1</v>
      </c>
      <c r="P641" s="15">
        <f t="shared" si="9"/>
        <v>100</v>
      </c>
      <c r="Q641" s="16" t="s">
        <v>3</v>
      </c>
      <c r="R641" s="17" t="s">
        <v>3</v>
      </c>
      <c r="S641" s="13" t="s">
        <v>0</v>
      </c>
    </row>
    <row r="642" spans="1:19" x14ac:dyDescent="0.25">
      <c r="A642" s="13">
        <v>982089601</v>
      </c>
      <c r="B642" s="27" t="s">
        <v>303</v>
      </c>
      <c r="C642" s="28">
        <v>1</v>
      </c>
      <c r="D642" s="13">
        <v>390337</v>
      </c>
      <c r="E642" s="13"/>
      <c r="F642" s="13">
        <v>100</v>
      </c>
      <c r="G642" s="13">
        <v>100</v>
      </c>
      <c r="H642" s="13"/>
      <c r="I642" s="13"/>
      <c r="J642" s="13"/>
      <c r="K642" s="13">
        <v>100</v>
      </c>
      <c r="L642" s="13"/>
      <c r="M642" s="13" t="s">
        <v>23</v>
      </c>
      <c r="N642" s="13">
        <f>IFERROR(VLOOKUP($A:$A,[1]KION_IND_E_COM_LT!$A:$T,18,0),"")</f>
        <v>0</v>
      </c>
      <c r="O642" s="14">
        <v>1</v>
      </c>
      <c r="P642" s="15">
        <f t="shared" si="9"/>
        <v>100</v>
      </c>
      <c r="Q642" s="16">
        <v>44109</v>
      </c>
      <c r="R642" s="17">
        <v>12</v>
      </c>
      <c r="S642" s="13" t="s">
        <v>0</v>
      </c>
    </row>
    <row r="643" spans="1:19" x14ac:dyDescent="0.25">
      <c r="A643" s="13">
        <v>982089791</v>
      </c>
      <c r="B643" s="27" t="s">
        <v>242</v>
      </c>
      <c r="C643" s="28">
        <v>0</v>
      </c>
      <c r="D643" s="13">
        <v>390337</v>
      </c>
      <c r="E643" s="13"/>
      <c r="F643" s="13">
        <v>100</v>
      </c>
      <c r="G643" s="13">
        <v>100</v>
      </c>
      <c r="H643" s="13"/>
      <c r="I643" s="13"/>
      <c r="J643" s="13"/>
      <c r="K643" s="13">
        <v>100</v>
      </c>
      <c r="L643" s="13"/>
      <c r="M643" s="13" t="s">
        <v>23</v>
      </c>
      <c r="N643" s="13">
        <f>IFERROR(VLOOKUP($A:$A,[1]KION_IND_E_COM_LT!$A:$T,18,0),"")</f>
        <v>0</v>
      </c>
      <c r="O643" s="14">
        <v>1</v>
      </c>
      <c r="P643" s="15">
        <f t="shared" ref="P643:P706" si="10">K643*O643</f>
        <v>100</v>
      </c>
      <c r="Q643" s="16">
        <v>44109</v>
      </c>
      <c r="R643" s="17">
        <v>12</v>
      </c>
      <c r="S643" s="13" t="s">
        <v>0</v>
      </c>
    </row>
    <row r="644" spans="1:19" x14ac:dyDescent="0.25">
      <c r="A644" s="13">
        <v>982091181</v>
      </c>
      <c r="B644" s="27" t="s">
        <v>305</v>
      </c>
      <c r="C644" s="28">
        <v>0</v>
      </c>
      <c r="D644" s="13">
        <v>390337</v>
      </c>
      <c r="E644" s="13"/>
      <c r="F644" s="13">
        <v>10</v>
      </c>
      <c r="G644" s="13">
        <v>10</v>
      </c>
      <c r="H644" s="13"/>
      <c r="I644" s="13"/>
      <c r="J644" s="13"/>
      <c r="K644" s="13">
        <v>10</v>
      </c>
      <c r="L644" s="22" t="s">
        <v>21</v>
      </c>
      <c r="M644" s="13" t="s">
        <v>51</v>
      </c>
      <c r="N644" s="13">
        <f>IFERROR(VLOOKUP($A:$A,[1]KION_IND_E_COM_LT!$A:$T,18,0),"")</f>
        <v>0</v>
      </c>
      <c r="O644" s="14">
        <v>1</v>
      </c>
      <c r="P644" s="15">
        <f t="shared" si="10"/>
        <v>10</v>
      </c>
      <c r="Q644" s="16" t="s">
        <v>3</v>
      </c>
      <c r="R644" s="17" t="s">
        <v>3</v>
      </c>
      <c r="S644" s="13" t="s">
        <v>0</v>
      </c>
    </row>
    <row r="645" spans="1:19" x14ac:dyDescent="0.25">
      <c r="A645" s="13">
        <v>982091921</v>
      </c>
      <c r="B645" s="27" t="s">
        <v>141</v>
      </c>
      <c r="C645" s="28">
        <v>0</v>
      </c>
      <c r="D645" s="13">
        <v>390337</v>
      </c>
      <c r="E645" s="13"/>
      <c r="F645" s="13">
        <v>2200</v>
      </c>
      <c r="G645" s="13">
        <v>2200</v>
      </c>
      <c r="H645" s="13"/>
      <c r="I645" s="13"/>
      <c r="J645" s="13"/>
      <c r="K645" s="13">
        <v>2200</v>
      </c>
      <c r="L645" s="22" t="s">
        <v>21</v>
      </c>
      <c r="M645" s="13" t="s">
        <v>60</v>
      </c>
      <c r="N645" s="13">
        <f>IFERROR(VLOOKUP($A:$A,[1]KION_IND_E_COM_LT!$A:$T,18,0),"")</f>
        <v>0</v>
      </c>
      <c r="O645" s="14">
        <v>1</v>
      </c>
      <c r="P645" s="15">
        <f t="shared" si="10"/>
        <v>2200</v>
      </c>
      <c r="Q645" s="16">
        <v>44060</v>
      </c>
      <c r="R645" s="17">
        <v>5</v>
      </c>
      <c r="S645" s="13" t="s">
        <v>0</v>
      </c>
    </row>
    <row r="646" spans="1:19" x14ac:dyDescent="0.25">
      <c r="A646" s="13">
        <v>982092212</v>
      </c>
      <c r="B646" s="27" t="s">
        <v>93</v>
      </c>
      <c r="C646" s="28">
        <v>0</v>
      </c>
      <c r="D646" s="13">
        <v>390492</v>
      </c>
      <c r="E646" s="13"/>
      <c r="F646" s="13">
        <v>20</v>
      </c>
      <c r="G646" s="13">
        <v>20</v>
      </c>
      <c r="H646" s="13"/>
      <c r="I646" s="13"/>
      <c r="J646" s="13"/>
      <c r="K646" s="13">
        <v>20</v>
      </c>
      <c r="L646" s="22" t="s">
        <v>21</v>
      </c>
      <c r="M646" s="13" t="s">
        <v>60</v>
      </c>
      <c r="N646" s="13">
        <f>IFERROR(VLOOKUP($A:$A,[1]KION_IND_E_COM_LT!$A:$T,18,0),"")</f>
        <v>0</v>
      </c>
      <c r="O646" s="14">
        <v>1</v>
      </c>
      <c r="P646" s="15">
        <f t="shared" si="10"/>
        <v>20</v>
      </c>
      <c r="Q646" s="16">
        <v>44081</v>
      </c>
      <c r="R646" s="17">
        <v>8</v>
      </c>
      <c r="S646" s="13" t="s">
        <v>0</v>
      </c>
    </row>
    <row r="647" spans="1:19" x14ac:dyDescent="0.25">
      <c r="A647" s="13">
        <v>982092221</v>
      </c>
      <c r="B647" s="27" t="s">
        <v>110</v>
      </c>
      <c r="C647" s="28">
        <v>3</v>
      </c>
      <c r="D647" s="13">
        <v>390492</v>
      </c>
      <c r="E647" s="13"/>
      <c r="F647" s="13">
        <v>30</v>
      </c>
      <c r="G647" s="13">
        <v>30</v>
      </c>
      <c r="H647" s="13"/>
      <c r="I647" s="13"/>
      <c r="J647" s="13"/>
      <c r="K647" s="13">
        <v>30</v>
      </c>
      <c r="L647" s="13"/>
      <c r="M647" s="13" t="s">
        <v>23</v>
      </c>
      <c r="N647" s="13">
        <f>IFERROR(VLOOKUP($A:$A,[1]KION_IND_E_COM_LT!$A:$T,18,0),"")</f>
        <v>0</v>
      </c>
      <c r="O647" s="14">
        <v>1</v>
      </c>
      <c r="P647" s="15">
        <f t="shared" si="10"/>
        <v>30</v>
      </c>
      <c r="Q647" s="16">
        <v>44088</v>
      </c>
      <c r="R647" s="17">
        <v>9</v>
      </c>
      <c r="S647" s="13" t="s">
        <v>0</v>
      </c>
    </row>
    <row r="648" spans="1:19" x14ac:dyDescent="0.25">
      <c r="A648" s="13">
        <v>982092331</v>
      </c>
      <c r="B648" s="27" t="s">
        <v>81</v>
      </c>
      <c r="C648" s="28">
        <v>0</v>
      </c>
      <c r="D648" s="13">
        <v>390492</v>
      </c>
      <c r="E648" s="13"/>
      <c r="F648" s="13">
        <v>100</v>
      </c>
      <c r="G648" s="13">
        <v>100</v>
      </c>
      <c r="H648" s="13"/>
      <c r="I648" s="13"/>
      <c r="J648" s="13"/>
      <c r="K648" s="13">
        <v>100</v>
      </c>
      <c r="L648" s="13"/>
      <c r="M648" s="13" t="s">
        <v>23</v>
      </c>
      <c r="N648" s="13">
        <f>IFERROR(VLOOKUP($A:$A,[1]KION_IND_E_COM_LT!$A:$T,18,0),"")</f>
        <v>0</v>
      </c>
      <c r="O648" s="14">
        <v>1</v>
      </c>
      <c r="P648" s="15">
        <f t="shared" si="10"/>
        <v>100</v>
      </c>
      <c r="Q648" s="16" t="s">
        <v>3</v>
      </c>
      <c r="R648" s="17" t="s">
        <v>3</v>
      </c>
      <c r="S648" s="13" t="s">
        <v>0</v>
      </c>
    </row>
    <row r="649" spans="1:19" x14ac:dyDescent="0.25">
      <c r="A649" s="13">
        <v>982092341</v>
      </c>
      <c r="B649" s="27" t="s">
        <v>82</v>
      </c>
      <c r="C649" s="28">
        <v>0</v>
      </c>
      <c r="D649" s="13">
        <v>390492</v>
      </c>
      <c r="E649" s="13"/>
      <c r="F649" s="13">
        <v>60</v>
      </c>
      <c r="G649" s="13">
        <v>60</v>
      </c>
      <c r="H649" s="13"/>
      <c r="I649" s="13"/>
      <c r="J649" s="13"/>
      <c r="K649" s="13">
        <v>60</v>
      </c>
      <c r="L649" s="13"/>
      <c r="M649" s="13" t="s">
        <v>23</v>
      </c>
      <c r="N649" s="13">
        <f>IFERROR(VLOOKUP($A:$A,[1]KION_IND_E_COM_LT!$A:$T,18,0),"")</f>
        <v>0</v>
      </c>
      <c r="O649" s="14">
        <v>1</v>
      </c>
      <c r="P649" s="15">
        <f t="shared" si="10"/>
        <v>60</v>
      </c>
      <c r="Q649" s="16" t="s">
        <v>3</v>
      </c>
      <c r="R649" s="17" t="s">
        <v>3</v>
      </c>
      <c r="S649" s="13" t="s">
        <v>0</v>
      </c>
    </row>
    <row r="650" spans="1:19" x14ac:dyDescent="0.25">
      <c r="A650" s="13">
        <v>982092351</v>
      </c>
      <c r="B650" s="27" t="s">
        <v>108</v>
      </c>
      <c r="C650" s="28">
        <v>3</v>
      </c>
      <c r="D650" s="13">
        <v>390492</v>
      </c>
      <c r="E650" s="13"/>
      <c r="F650" s="13">
        <v>50</v>
      </c>
      <c r="G650" s="13">
        <v>50</v>
      </c>
      <c r="H650" s="13"/>
      <c r="I650" s="13"/>
      <c r="J650" s="13"/>
      <c r="K650" s="13">
        <v>50</v>
      </c>
      <c r="L650" s="13"/>
      <c r="M650" s="13" t="s">
        <v>23</v>
      </c>
      <c r="N650" s="13">
        <f>IFERROR(VLOOKUP($A:$A,[1]KION_IND_E_COM_LT!$A:$T,18,0),"")</f>
        <v>0</v>
      </c>
      <c r="O650" s="14">
        <v>1</v>
      </c>
      <c r="P650" s="15">
        <f t="shared" si="10"/>
        <v>50</v>
      </c>
      <c r="Q650" s="16" t="s">
        <v>3</v>
      </c>
      <c r="R650" s="17" t="s">
        <v>3</v>
      </c>
      <c r="S650" s="13" t="s">
        <v>0</v>
      </c>
    </row>
    <row r="651" spans="1:19" x14ac:dyDescent="0.25">
      <c r="A651" s="13">
        <v>982092471</v>
      </c>
      <c r="B651" s="27" t="s">
        <v>104</v>
      </c>
      <c r="C651" s="28">
        <v>1</v>
      </c>
      <c r="D651" s="13">
        <v>390492</v>
      </c>
      <c r="E651" s="13"/>
      <c r="F651" s="13">
        <v>10</v>
      </c>
      <c r="G651" s="13">
        <v>10</v>
      </c>
      <c r="H651" s="13"/>
      <c r="I651" s="13"/>
      <c r="J651" s="13"/>
      <c r="K651" s="13">
        <v>10</v>
      </c>
      <c r="L651" s="22" t="s">
        <v>21</v>
      </c>
      <c r="M651" s="13" t="s">
        <v>60</v>
      </c>
      <c r="N651" s="13">
        <f>IFERROR(VLOOKUP($A:$A,[1]KION_IND_E_COM_LT!$A:$T,18,0),"")</f>
        <v>0</v>
      </c>
      <c r="O651" s="14">
        <v>1</v>
      </c>
      <c r="P651" s="15">
        <f t="shared" si="10"/>
        <v>10</v>
      </c>
      <c r="Q651" s="16">
        <v>44081</v>
      </c>
      <c r="R651" s="17">
        <v>8</v>
      </c>
      <c r="S651" s="13" t="s">
        <v>0</v>
      </c>
    </row>
    <row r="652" spans="1:19" x14ac:dyDescent="0.25">
      <c r="A652" s="13">
        <v>982092472</v>
      </c>
      <c r="B652" s="27" t="s">
        <v>104</v>
      </c>
      <c r="C652" s="28">
        <v>1</v>
      </c>
      <c r="D652" s="13">
        <v>390492</v>
      </c>
      <c r="E652" s="13"/>
      <c r="F652" s="13">
        <v>45</v>
      </c>
      <c r="G652" s="13">
        <v>45</v>
      </c>
      <c r="H652" s="13"/>
      <c r="I652" s="13"/>
      <c r="J652" s="13"/>
      <c r="K652" s="13">
        <v>45</v>
      </c>
      <c r="L652" s="22" t="s">
        <v>21</v>
      </c>
      <c r="M652" s="13" t="s">
        <v>60</v>
      </c>
      <c r="N652" s="13">
        <f>IFERROR(VLOOKUP($A:$A,[1]KION_IND_E_COM_LT!$A:$T,18,0),"")</f>
        <v>0</v>
      </c>
      <c r="O652" s="14">
        <v>1</v>
      </c>
      <c r="P652" s="15">
        <f t="shared" si="10"/>
        <v>45</v>
      </c>
      <c r="Q652" s="16">
        <v>44081</v>
      </c>
      <c r="R652" s="17">
        <v>8</v>
      </c>
      <c r="S652" s="13" t="s">
        <v>0</v>
      </c>
    </row>
    <row r="653" spans="1:19" x14ac:dyDescent="0.25">
      <c r="A653" s="13">
        <v>982092511</v>
      </c>
      <c r="B653" s="27" t="s">
        <v>102</v>
      </c>
      <c r="C653" s="28">
        <v>0</v>
      </c>
      <c r="D653" s="13">
        <v>390492</v>
      </c>
      <c r="E653" s="13"/>
      <c r="F653" s="13">
        <v>10</v>
      </c>
      <c r="G653" s="13">
        <v>10</v>
      </c>
      <c r="H653" s="13"/>
      <c r="I653" s="13"/>
      <c r="J653" s="13"/>
      <c r="K653" s="13">
        <v>10</v>
      </c>
      <c r="L653" s="22" t="s">
        <v>21</v>
      </c>
      <c r="M653" s="13" t="s">
        <v>60</v>
      </c>
      <c r="N653" s="13">
        <f>IFERROR(VLOOKUP($A:$A,[1]KION_IND_E_COM_LT!$A:$T,18,0),"")</f>
        <v>0</v>
      </c>
      <c r="O653" s="14">
        <v>1</v>
      </c>
      <c r="P653" s="15">
        <f t="shared" si="10"/>
        <v>10</v>
      </c>
      <c r="Q653" s="16">
        <v>44081</v>
      </c>
      <c r="R653" s="17">
        <v>8</v>
      </c>
      <c r="S653" s="13" t="s">
        <v>0</v>
      </c>
    </row>
    <row r="654" spans="1:19" x14ac:dyDescent="0.25">
      <c r="A654" s="13">
        <v>982092512</v>
      </c>
      <c r="B654" s="27" t="s">
        <v>102</v>
      </c>
      <c r="C654" s="28">
        <v>0</v>
      </c>
      <c r="D654" s="13">
        <v>390492</v>
      </c>
      <c r="E654" s="13"/>
      <c r="F654" s="13">
        <v>45</v>
      </c>
      <c r="G654" s="13">
        <v>45</v>
      </c>
      <c r="H654" s="13"/>
      <c r="I654" s="13"/>
      <c r="J654" s="13"/>
      <c r="K654" s="13">
        <v>45</v>
      </c>
      <c r="L654" s="22" t="s">
        <v>21</v>
      </c>
      <c r="M654" s="13" t="s">
        <v>60</v>
      </c>
      <c r="N654" s="13">
        <f>IFERROR(VLOOKUP($A:$A,[1]KION_IND_E_COM_LT!$A:$T,18,0),"")</f>
        <v>0</v>
      </c>
      <c r="O654" s="14">
        <v>1</v>
      </c>
      <c r="P654" s="15">
        <f t="shared" si="10"/>
        <v>45</v>
      </c>
      <c r="Q654" s="16">
        <v>44081</v>
      </c>
      <c r="R654" s="17">
        <v>8</v>
      </c>
      <c r="S654" s="13" t="s">
        <v>0</v>
      </c>
    </row>
    <row r="655" spans="1:19" x14ac:dyDescent="0.25">
      <c r="A655" s="13">
        <v>982092611</v>
      </c>
      <c r="B655" s="27" t="s">
        <v>78</v>
      </c>
      <c r="C655" s="28">
        <v>1</v>
      </c>
      <c r="D655" s="13">
        <v>390492</v>
      </c>
      <c r="E655" s="13"/>
      <c r="F655" s="13">
        <v>120</v>
      </c>
      <c r="G655" s="13">
        <v>120</v>
      </c>
      <c r="H655" s="13"/>
      <c r="I655" s="13"/>
      <c r="J655" s="13"/>
      <c r="K655" s="13">
        <v>120</v>
      </c>
      <c r="L655" s="13"/>
      <c r="M655" s="13" t="s">
        <v>23</v>
      </c>
      <c r="N655" s="13">
        <f>IFERROR(VLOOKUP($A:$A,[1]KION_IND_E_COM_LT!$A:$T,18,0),"")</f>
        <v>0</v>
      </c>
      <c r="O655" s="14">
        <v>1</v>
      </c>
      <c r="P655" s="15">
        <f t="shared" si="10"/>
        <v>120</v>
      </c>
      <c r="Q655" s="16" t="s">
        <v>3</v>
      </c>
      <c r="R655" s="17" t="s">
        <v>3</v>
      </c>
      <c r="S655" s="13" t="s">
        <v>0</v>
      </c>
    </row>
    <row r="656" spans="1:19" x14ac:dyDescent="0.25">
      <c r="A656" s="13">
        <v>982092621</v>
      </c>
      <c r="B656" s="27" t="s">
        <v>112</v>
      </c>
      <c r="C656" s="28">
        <v>1</v>
      </c>
      <c r="D656" s="13">
        <v>390492</v>
      </c>
      <c r="E656" s="13"/>
      <c r="F656" s="13">
        <v>50</v>
      </c>
      <c r="G656" s="13">
        <v>50</v>
      </c>
      <c r="H656" s="13"/>
      <c r="I656" s="13"/>
      <c r="J656" s="13"/>
      <c r="K656" s="13">
        <v>50</v>
      </c>
      <c r="L656" s="13"/>
      <c r="M656" s="13" t="s">
        <v>23</v>
      </c>
      <c r="N656" s="13">
        <f>IFERROR(VLOOKUP($A:$A,[1]KION_IND_E_COM_LT!$A:$T,18,0),"")</f>
        <v>0</v>
      </c>
      <c r="O656" s="14">
        <v>1</v>
      </c>
      <c r="P656" s="15">
        <f t="shared" si="10"/>
        <v>50</v>
      </c>
      <c r="Q656" s="16" t="s">
        <v>3</v>
      </c>
      <c r="R656" s="17" t="s">
        <v>3</v>
      </c>
      <c r="S656" s="13" t="s">
        <v>0</v>
      </c>
    </row>
    <row r="657" spans="1:19" x14ac:dyDescent="0.25">
      <c r="A657" s="13">
        <v>982092631</v>
      </c>
      <c r="B657" s="27" t="s">
        <v>113</v>
      </c>
      <c r="C657" s="28">
        <v>1</v>
      </c>
      <c r="D657" s="13">
        <v>390492</v>
      </c>
      <c r="E657" s="13"/>
      <c r="F657" s="13">
        <v>60</v>
      </c>
      <c r="G657" s="13">
        <v>60</v>
      </c>
      <c r="H657" s="13"/>
      <c r="I657" s="13"/>
      <c r="J657" s="13"/>
      <c r="K657" s="13">
        <v>60</v>
      </c>
      <c r="L657" s="13"/>
      <c r="M657" s="13" t="s">
        <v>23</v>
      </c>
      <c r="N657" s="13">
        <f>IFERROR(VLOOKUP($A:$A,[1]KION_IND_E_COM_LT!$A:$T,18,0),"")</f>
        <v>0</v>
      </c>
      <c r="O657" s="14">
        <v>1</v>
      </c>
      <c r="P657" s="15">
        <f t="shared" si="10"/>
        <v>60</v>
      </c>
      <c r="Q657" s="16" t="s">
        <v>3</v>
      </c>
      <c r="R657" s="17" t="s">
        <v>3</v>
      </c>
      <c r="S657" s="13" t="s">
        <v>0</v>
      </c>
    </row>
    <row r="658" spans="1:19" x14ac:dyDescent="0.25">
      <c r="A658" s="13">
        <v>982092681</v>
      </c>
      <c r="B658" s="27" t="s">
        <v>114</v>
      </c>
      <c r="C658" s="28">
        <v>2</v>
      </c>
      <c r="D658" s="13">
        <v>390492</v>
      </c>
      <c r="E658" s="13"/>
      <c r="F658" s="13">
        <v>60</v>
      </c>
      <c r="G658" s="13">
        <v>60</v>
      </c>
      <c r="H658" s="13"/>
      <c r="I658" s="13"/>
      <c r="J658" s="13"/>
      <c r="K658" s="13">
        <v>60</v>
      </c>
      <c r="L658" s="13"/>
      <c r="M658" s="13" t="s">
        <v>23</v>
      </c>
      <c r="N658" s="13">
        <f>IFERROR(VLOOKUP($A:$A,[1]KION_IND_E_COM_LT!$A:$T,18,0),"")</f>
        <v>0</v>
      </c>
      <c r="O658" s="14">
        <v>1</v>
      </c>
      <c r="P658" s="15">
        <f t="shared" si="10"/>
        <v>60</v>
      </c>
      <c r="Q658" s="16" t="s">
        <v>3</v>
      </c>
      <c r="R658" s="17" t="s">
        <v>3</v>
      </c>
      <c r="S658" s="13" t="s">
        <v>0</v>
      </c>
    </row>
    <row r="659" spans="1:19" x14ac:dyDescent="0.25">
      <c r="A659" s="13">
        <v>982092751</v>
      </c>
      <c r="B659" s="27" t="s">
        <v>96</v>
      </c>
      <c r="C659" s="28">
        <v>2</v>
      </c>
      <c r="D659" s="13">
        <v>390492</v>
      </c>
      <c r="E659" s="13"/>
      <c r="F659" s="13">
        <v>30</v>
      </c>
      <c r="G659" s="13">
        <v>30</v>
      </c>
      <c r="H659" s="13"/>
      <c r="I659" s="13"/>
      <c r="J659" s="13"/>
      <c r="K659" s="13">
        <v>30</v>
      </c>
      <c r="L659" s="13"/>
      <c r="M659" s="13" t="s">
        <v>23</v>
      </c>
      <c r="N659" s="13">
        <f>IFERROR(VLOOKUP($A:$A,[1]KION_IND_E_COM_LT!$A:$T,18,0),"")</f>
        <v>0</v>
      </c>
      <c r="O659" s="14">
        <v>1</v>
      </c>
      <c r="P659" s="15">
        <f t="shared" si="10"/>
        <v>30</v>
      </c>
      <c r="Q659" s="16" t="s">
        <v>3</v>
      </c>
      <c r="R659" s="17" t="s">
        <v>3</v>
      </c>
      <c r="S659" s="13" t="s">
        <v>0</v>
      </c>
    </row>
    <row r="660" spans="1:19" x14ac:dyDescent="0.25">
      <c r="A660" s="13">
        <v>982092851</v>
      </c>
      <c r="B660" s="27" t="s">
        <v>87</v>
      </c>
      <c r="C660" s="28">
        <v>4</v>
      </c>
      <c r="D660" s="13">
        <v>390492</v>
      </c>
      <c r="E660" s="13"/>
      <c r="F660" s="13">
        <v>10</v>
      </c>
      <c r="G660" s="13">
        <v>10</v>
      </c>
      <c r="H660" s="13"/>
      <c r="I660" s="13"/>
      <c r="J660" s="13"/>
      <c r="K660" s="13">
        <v>10</v>
      </c>
      <c r="L660" s="13"/>
      <c r="M660" s="13" t="s">
        <v>23</v>
      </c>
      <c r="N660" s="13">
        <f>IFERROR(VLOOKUP($A:$A,[1]KION_IND_E_COM_LT!$A:$T,18,0),"")</f>
        <v>0</v>
      </c>
      <c r="O660" s="14">
        <v>1</v>
      </c>
      <c r="P660" s="15">
        <f t="shared" si="10"/>
        <v>10</v>
      </c>
      <c r="Q660" s="16" t="s">
        <v>3</v>
      </c>
      <c r="R660" s="17" t="s">
        <v>3</v>
      </c>
      <c r="S660" s="13" t="s">
        <v>0</v>
      </c>
    </row>
    <row r="661" spans="1:19" x14ac:dyDescent="0.25">
      <c r="A661" s="13">
        <v>982092871</v>
      </c>
      <c r="B661" s="27" t="s">
        <v>95</v>
      </c>
      <c r="C661" s="28">
        <v>3</v>
      </c>
      <c r="D661" s="13">
        <v>390492</v>
      </c>
      <c r="E661" s="13"/>
      <c r="F661" s="13">
        <v>35</v>
      </c>
      <c r="G661" s="13">
        <v>35</v>
      </c>
      <c r="H661" s="13"/>
      <c r="I661" s="13"/>
      <c r="J661" s="13"/>
      <c r="K661" s="13">
        <v>35</v>
      </c>
      <c r="L661" s="13"/>
      <c r="M661" s="13" t="s">
        <v>23</v>
      </c>
      <c r="N661" s="13">
        <f>IFERROR(VLOOKUP($A:$A,[1]KION_IND_E_COM_LT!$A:$T,18,0),"")</f>
        <v>0</v>
      </c>
      <c r="O661" s="14">
        <v>1</v>
      </c>
      <c r="P661" s="15">
        <f t="shared" si="10"/>
        <v>35</v>
      </c>
      <c r="Q661" s="16" t="s">
        <v>3</v>
      </c>
      <c r="R661" s="17" t="s">
        <v>3</v>
      </c>
      <c r="S661" s="13" t="s">
        <v>0</v>
      </c>
    </row>
    <row r="662" spans="1:19" x14ac:dyDescent="0.25">
      <c r="A662" s="13">
        <v>982093531</v>
      </c>
      <c r="B662" s="27" t="s">
        <v>292</v>
      </c>
      <c r="C662" s="28">
        <v>3</v>
      </c>
      <c r="D662" s="13">
        <v>390492</v>
      </c>
      <c r="E662" s="13"/>
      <c r="F662" s="13">
        <v>50</v>
      </c>
      <c r="G662" s="13">
        <v>50</v>
      </c>
      <c r="H662" s="13"/>
      <c r="I662" s="13"/>
      <c r="J662" s="13"/>
      <c r="K662" s="13">
        <v>50</v>
      </c>
      <c r="L662" s="13"/>
      <c r="M662" s="13" t="s">
        <v>23</v>
      </c>
      <c r="N662" s="13">
        <f>IFERROR(VLOOKUP($A:$A,[1]KION_IND_E_COM_LT!$A:$T,18,0),"")</f>
        <v>0</v>
      </c>
      <c r="O662" s="14">
        <v>1</v>
      </c>
      <c r="P662" s="15">
        <f t="shared" si="10"/>
        <v>50</v>
      </c>
      <c r="Q662" s="16" t="s">
        <v>3</v>
      </c>
      <c r="R662" s="17" t="s">
        <v>3</v>
      </c>
      <c r="S662" s="13" t="s">
        <v>0</v>
      </c>
    </row>
    <row r="663" spans="1:19" x14ac:dyDescent="0.25">
      <c r="A663" s="13">
        <v>982093541</v>
      </c>
      <c r="B663" s="27" t="s">
        <v>174</v>
      </c>
      <c r="C663" s="28">
        <v>2</v>
      </c>
      <c r="D663" s="13">
        <v>390492</v>
      </c>
      <c r="E663" s="13"/>
      <c r="F663" s="13">
        <v>50</v>
      </c>
      <c r="G663" s="13">
        <v>50</v>
      </c>
      <c r="H663" s="13"/>
      <c r="I663" s="13"/>
      <c r="J663" s="13"/>
      <c r="K663" s="13">
        <v>50</v>
      </c>
      <c r="L663" s="13"/>
      <c r="M663" s="13" t="s">
        <v>23</v>
      </c>
      <c r="N663" s="13">
        <f>IFERROR(VLOOKUP($A:$A,[1]KION_IND_E_COM_LT!$A:$T,18,0),"")</f>
        <v>0</v>
      </c>
      <c r="O663" s="14">
        <v>1</v>
      </c>
      <c r="P663" s="15">
        <f t="shared" si="10"/>
        <v>50</v>
      </c>
      <c r="Q663" s="16" t="s">
        <v>3</v>
      </c>
      <c r="R663" s="17" t="s">
        <v>3</v>
      </c>
      <c r="S663" s="13" t="s">
        <v>0</v>
      </c>
    </row>
    <row r="664" spans="1:19" x14ac:dyDescent="0.25">
      <c r="A664" s="13">
        <v>982093591</v>
      </c>
      <c r="B664" s="27" t="s">
        <v>298</v>
      </c>
      <c r="C664" s="28">
        <v>2</v>
      </c>
      <c r="D664" s="13">
        <v>390492</v>
      </c>
      <c r="E664" s="13"/>
      <c r="F664" s="13">
        <v>60</v>
      </c>
      <c r="G664" s="13">
        <v>60</v>
      </c>
      <c r="H664" s="13"/>
      <c r="I664" s="13"/>
      <c r="J664" s="13"/>
      <c r="K664" s="13">
        <v>60</v>
      </c>
      <c r="L664" s="13"/>
      <c r="M664" s="13" t="s">
        <v>23</v>
      </c>
      <c r="N664" s="13">
        <f>IFERROR(VLOOKUP($A:$A,[1]KION_IND_E_COM_LT!$A:$T,18,0),"")</f>
        <v>0</v>
      </c>
      <c r="O664" s="14">
        <v>1</v>
      </c>
      <c r="P664" s="15">
        <f t="shared" si="10"/>
        <v>60</v>
      </c>
      <c r="Q664" s="16" t="s">
        <v>3</v>
      </c>
      <c r="R664" s="17" t="s">
        <v>3</v>
      </c>
      <c r="S664" s="13" t="s">
        <v>0</v>
      </c>
    </row>
    <row r="665" spans="1:19" x14ac:dyDescent="0.25">
      <c r="A665" s="13">
        <v>982093601</v>
      </c>
      <c r="B665" s="27" t="s">
        <v>299</v>
      </c>
      <c r="C665" s="28">
        <v>3</v>
      </c>
      <c r="D665" s="13">
        <v>390492</v>
      </c>
      <c r="E665" s="13"/>
      <c r="F665" s="13">
        <v>60</v>
      </c>
      <c r="G665" s="13">
        <v>60</v>
      </c>
      <c r="H665" s="13"/>
      <c r="I665" s="13"/>
      <c r="J665" s="13"/>
      <c r="K665" s="13">
        <v>60</v>
      </c>
      <c r="L665" s="13"/>
      <c r="M665" s="13" t="s">
        <v>23</v>
      </c>
      <c r="N665" s="13">
        <f>IFERROR(VLOOKUP($A:$A,[1]KION_IND_E_COM_LT!$A:$T,18,0),"")</f>
        <v>0</v>
      </c>
      <c r="O665" s="14">
        <v>1</v>
      </c>
      <c r="P665" s="15">
        <f t="shared" si="10"/>
        <v>60</v>
      </c>
      <c r="Q665" s="16" t="s">
        <v>3</v>
      </c>
      <c r="R665" s="17" t="s">
        <v>3</v>
      </c>
      <c r="S665" s="13" t="s">
        <v>0</v>
      </c>
    </row>
    <row r="666" spans="1:19" x14ac:dyDescent="0.25">
      <c r="A666" s="13">
        <v>982093611</v>
      </c>
      <c r="B666" s="27" t="s">
        <v>300</v>
      </c>
      <c r="C666" s="28">
        <v>0</v>
      </c>
      <c r="D666" s="13">
        <v>390492</v>
      </c>
      <c r="E666" s="13"/>
      <c r="F666" s="13">
        <v>60</v>
      </c>
      <c r="G666" s="13">
        <v>60</v>
      </c>
      <c r="H666" s="13"/>
      <c r="I666" s="13"/>
      <c r="J666" s="13"/>
      <c r="K666" s="13">
        <v>60</v>
      </c>
      <c r="L666" s="23"/>
      <c r="M666" s="13" t="s">
        <v>23</v>
      </c>
      <c r="N666" s="13">
        <f>IFERROR(VLOOKUP($A:$A,[1]KION_IND_E_COM_LT!$A:$T,18,0),"")</f>
        <v>0</v>
      </c>
      <c r="O666" s="14">
        <v>1</v>
      </c>
      <c r="P666" s="15">
        <f t="shared" si="10"/>
        <v>60</v>
      </c>
      <c r="Q666" s="16" t="s">
        <v>3</v>
      </c>
      <c r="R666" s="17" t="s">
        <v>3</v>
      </c>
      <c r="S666" s="13" t="s">
        <v>0</v>
      </c>
    </row>
    <row r="667" spans="1:19" x14ac:dyDescent="0.25">
      <c r="A667" s="13">
        <v>982093651</v>
      </c>
      <c r="B667" s="27" t="s">
        <v>294</v>
      </c>
      <c r="C667" s="28">
        <v>0</v>
      </c>
      <c r="D667" s="13">
        <v>390492</v>
      </c>
      <c r="E667" s="13"/>
      <c r="F667" s="13">
        <v>10</v>
      </c>
      <c r="G667" s="13">
        <v>10</v>
      </c>
      <c r="H667" s="13"/>
      <c r="I667" s="13"/>
      <c r="J667" s="13"/>
      <c r="K667" s="13">
        <v>10</v>
      </c>
      <c r="L667" s="22" t="s">
        <v>21</v>
      </c>
      <c r="M667" s="13" t="s">
        <v>60</v>
      </c>
      <c r="N667" s="13">
        <f>IFERROR(VLOOKUP($A:$A,[1]KION_IND_E_COM_LT!$A:$T,18,0),"")</f>
        <v>0</v>
      </c>
      <c r="O667" s="14">
        <v>1</v>
      </c>
      <c r="P667" s="15">
        <f t="shared" si="10"/>
        <v>10</v>
      </c>
      <c r="Q667" s="16">
        <v>44081</v>
      </c>
      <c r="R667" s="17">
        <v>8</v>
      </c>
      <c r="S667" s="13" t="s">
        <v>0</v>
      </c>
    </row>
    <row r="668" spans="1:19" x14ac:dyDescent="0.25">
      <c r="A668" s="13">
        <v>982093652</v>
      </c>
      <c r="B668" s="27" t="s">
        <v>294</v>
      </c>
      <c r="C668" s="28">
        <v>0</v>
      </c>
      <c r="D668" s="13">
        <v>390492</v>
      </c>
      <c r="E668" s="13"/>
      <c r="F668" s="13">
        <v>50</v>
      </c>
      <c r="G668" s="13">
        <v>50</v>
      </c>
      <c r="H668" s="13"/>
      <c r="I668" s="13"/>
      <c r="J668" s="13"/>
      <c r="K668" s="13">
        <v>50</v>
      </c>
      <c r="L668" s="22" t="s">
        <v>21</v>
      </c>
      <c r="M668" s="13" t="s">
        <v>60</v>
      </c>
      <c r="N668" s="13">
        <f>IFERROR(VLOOKUP($A:$A,[1]KION_IND_E_COM_LT!$A:$T,18,0),"")</f>
        <v>0</v>
      </c>
      <c r="O668" s="14">
        <v>1</v>
      </c>
      <c r="P668" s="15">
        <f t="shared" si="10"/>
        <v>50</v>
      </c>
      <c r="Q668" s="16">
        <v>44081</v>
      </c>
      <c r="R668" s="17">
        <v>8</v>
      </c>
      <c r="S668" s="13" t="s">
        <v>0</v>
      </c>
    </row>
    <row r="669" spans="1:19" x14ac:dyDescent="0.25">
      <c r="A669" s="13">
        <v>982093821</v>
      </c>
      <c r="B669" s="27" t="s">
        <v>186</v>
      </c>
      <c r="C669" s="28">
        <v>1</v>
      </c>
      <c r="D669" s="13">
        <v>390492</v>
      </c>
      <c r="E669" s="13"/>
      <c r="F669" s="13">
        <v>100</v>
      </c>
      <c r="G669" s="13">
        <v>100</v>
      </c>
      <c r="H669" s="13"/>
      <c r="I669" s="13"/>
      <c r="J669" s="13"/>
      <c r="K669" s="13">
        <v>100</v>
      </c>
      <c r="L669" s="23"/>
      <c r="M669" s="13" t="s">
        <v>23</v>
      </c>
      <c r="N669" s="13">
        <f>IFERROR(VLOOKUP($A:$A,[1]KION_IND_E_COM_LT!$A:$T,18,0),"")</f>
        <v>0</v>
      </c>
      <c r="O669" s="14">
        <v>1</v>
      </c>
      <c r="P669" s="15">
        <f t="shared" si="10"/>
        <v>100</v>
      </c>
      <c r="Q669" s="16" t="s">
        <v>3</v>
      </c>
      <c r="R669" s="17" t="s">
        <v>3</v>
      </c>
      <c r="S669" s="13" t="s">
        <v>0</v>
      </c>
    </row>
    <row r="670" spans="1:19" x14ac:dyDescent="0.25">
      <c r="A670" s="13">
        <v>982093851</v>
      </c>
      <c r="B670" s="27" t="s">
        <v>182</v>
      </c>
      <c r="C670" s="28">
        <v>0</v>
      </c>
      <c r="D670" s="13">
        <v>390492</v>
      </c>
      <c r="E670" s="13"/>
      <c r="F670" s="13">
        <v>50</v>
      </c>
      <c r="G670" s="13">
        <v>50</v>
      </c>
      <c r="H670" s="13"/>
      <c r="I670" s="13"/>
      <c r="J670" s="13"/>
      <c r="K670" s="13">
        <v>50</v>
      </c>
      <c r="L670" s="23"/>
      <c r="M670" s="13" t="s">
        <v>23</v>
      </c>
      <c r="N670" s="13">
        <f>IFERROR(VLOOKUP($A:$A,[1]KION_IND_E_COM_LT!$A:$T,18,0),"")</f>
        <v>0</v>
      </c>
      <c r="O670" s="14">
        <v>1</v>
      </c>
      <c r="P670" s="15">
        <f t="shared" si="10"/>
        <v>50</v>
      </c>
      <c r="Q670" s="16" t="s">
        <v>3</v>
      </c>
      <c r="R670" s="17" t="s">
        <v>3</v>
      </c>
      <c r="S670" s="13" t="s">
        <v>0</v>
      </c>
    </row>
    <row r="671" spans="1:19" x14ac:dyDescent="0.25">
      <c r="A671" s="13">
        <v>982093901</v>
      </c>
      <c r="B671" s="27" t="s">
        <v>120</v>
      </c>
      <c r="C671" s="28">
        <v>8</v>
      </c>
      <c r="D671" s="13">
        <v>390492</v>
      </c>
      <c r="E671" s="13"/>
      <c r="F671" s="13">
        <v>50</v>
      </c>
      <c r="G671" s="13">
        <v>50</v>
      </c>
      <c r="H671" s="13"/>
      <c r="I671" s="13"/>
      <c r="J671" s="13"/>
      <c r="K671" s="13">
        <v>50</v>
      </c>
      <c r="L671" s="23"/>
      <c r="M671" s="13" t="s">
        <v>23</v>
      </c>
      <c r="N671" s="13">
        <f>IFERROR(VLOOKUP($A:$A,[1]KION_IND_E_COM_LT!$A:$T,18,0),"")</f>
        <v>0</v>
      </c>
      <c r="O671" s="14">
        <v>1</v>
      </c>
      <c r="P671" s="15">
        <f t="shared" si="10"/>
        <v>50</v>
      </c>
      <c r="Q671" s="16" t="s">
        <v>3</v>
      </c>
      <c r="R671" s="17" t="s">
        <v>3</v>
      </c>
      <c r="S671" s="13" t="s">
        <v>0</v>
      </c>
    </row>
    <row r="672" spans="1:19" x14ac:dyDescent="0.25">
      <c r="A672" s="13">
        <v>982093931</v>
      </c>
      <c r="B672" s="27" t="s">
        <v>293</v>
      </c>
      <c r="C672" s="28">
        <v>4</v>
      </c>
      <c r="D672" s="13">
        <v>390492</v>
      </c>
      <c r="E672" s="13"/>
      <c r="F672" s="13">
        <v>50</v>
      </c>
      <c r="G672" s="13">
        <v>50</v>
      </c>
      <c r="H672" s="13"/>
      <c r="I672" s="13"/>
      <c r="J672" s="13"/>
      <c r="K672" s="13">
        <v>50</v>
      </c>
      <c r="L672" s="23"/>
      <c r="M672" s="13" t="s">
        <v>23</v>
      </c>
      <c r="N672" s="13">
        <f>IFERROR(VLOOKUP($A:$A,[1]KION_IND_E_COM_LT!$A:$T,18,0),"")</f>
        <v>0</v>
      </c>
      <c r="O672" s="14">
        <v>1</v>
      </c>
      <c r="P672" s="15">
        <f t="shared" si="10"/>
        <v>50</v>
      </c>
      <c r="Q672" s="16" t="s">
        <v>3</v>
      </c>
      <c r="R672" s="17" t="s">
        <v>3</v>
      </c>
      <c r="S672" s="13" t="s">
        <v>0</v>
      </c>
    </row>
    <row r="673" spans="1:19" x14ac:dyDescent="0.25">
      <c r="A673" s="13">
        <v>982093951</v>
      </c>
      <c r="B673" s="27" t="s">
        <v>132</v>
      </c>
      <c r="C673" s="28">
        <v>3</v>
      </c>
      <c r="D673" s="13">
        <v>390492</v>
      </c>
      <c r="E673" s="13"/>
      <c r="F673" s="13">
        <v>50</v>
      </c>
      <c r="G673" s="13">
        <v>50</v>
      </c>
      <c r="H673" s="13"/>
      <c r="I673" s="13"/>
      <c r="J673" s="13"/>
      <c r="K673" s="13">
        <v>50</v>
      </c>
      <c r="L673" s="23"/>
      <c r="M673" s="13" t="s">
        <v>23</v>
      </c>
      <c r="N673" s="13">
        <f>IFERROR(VLOOKUP($A:$A,[1]KION_IND_E_COM_LT!$A:$T,18,0),"")</f>
        <v>0</v>
      </c>
      <c r="O673" s="14">
        <v>1</v>
      </c>
      <c r="P673" s="15">
        <f t="shared" si="10"/>
        <v>50</v>
      </c>
      <c r="Q673" s="16" t="s">
        <v>3</v>
      </c>
      <c r="R673" s="17" t="s">
        <v>3</v>
      </c>
      <c r="S673" s="13" t="s">
        <v>0</v>
      </c>
    </row>
    <row r="674" spans="1:19" x14ac:dyDescent="0.25">
      <c r="A674" s="13">
        <v>982094041</v>
      </c>
      <c r="B674" s="27" t="s">
        <v>181</v>
      </c>
      <c r="C674" s="28">
        <v>2</v>
      </c>
      <c r="D674" s="13">
        <v>390492</v>
      </c>
      <c r="E674" s="13"/>
      <c r="F674" s="13">
        <v>30</v>
      </c>
      <c r="G674" s="13">
        <v>30</v>
      </c>
      <c r="H674" s="13"/>
      <c r="I674" s="13"/>
      <c r="J674" s="13"/>
      <c r="K674" s="13">
        <v>30</v>
      </c>
      <c r="L674" s="22" t="s">
        <v>21</v>
      </c>
      <c r="M674" s="13" t="s">
        <v>60</v>
      </c>
      <c r="N674" s="13">
        <f>IFERROR(VLOOKUP($A:$A,[1]KION_IND_E_COM_LT!$A:$T,18,0),"")</f>
        <v>0</v>
      </c>
      <c r="O674" s="14">
        <v>1</v>
      </c>
      <c r="P674" s="15">
        <f t="shared" si="10"/>
        <v>30</v>
      </c>
      <c r="Q674" s="16">
        <v>44081</v>
      </c>
      <c r="R674" s="17">
        <v>8</v>
      </c>
      <c r="S674" s="13" t="s">
        <v>0</v>
      </c>
    </row>
    <row r="675" spans="1:19" x14ac:dyDescent="0.25">
      <c r="A675" s="13">
        <v>982094051</v>
      </c>
      <c r="B675" s="27" t="s">
        <v>138</v>
      </c>
      <c r="C675" s="28">
        <v>1</v>
      </c>
      <c r="D675" s="13">
        <v>390492</v>
      </c>
      <c r="E675" s="13"/>
      <c r="F675" s="13">
        <v>60</v>
      </c>
      <c r="G675" s="13">
        <v>60</v>
      </c>
      <c r="H675" s="13"/>
      <c r="I675" s="13"/>
      <c r="J675" s="13"/>
      <c r="K675" s="13">
        <v>60</v>
      </c>
      <c r="L675" s="22" t="s">
        <v>21</v>
      </c>
      <c r="M675" s="13" t="s">
        <v>60</v>
      </c>
      <c r="N675" s="13">
        <f>IFERROR(VLOOKUP($A:$A,[1]KION_IND_E_COM_LT!$A:$T,18,0),"")</f>
        <v>0</v>
      </c>
      <c r="O675" s="14">
        <v>1</v>
      </c>
      <c r="P675" s="15">
        <f t="shared" si="10"/>
        <v>60</v>
      </c>
      <c r="Q675" s="16">
        <v>44081</v>
      </c>
      <c r="R675" s="17">
        <v>8</v>
      </c>
      <c r="S675" s="13" t="s">
        <v>0</v>
      </c>
    </row>
    <row r="676" spans="1:19" x14ac:dyDescent="0.25">
      <c r="A676" s="13">
        <v>982112151</v>
      </c>
      <c r="B676" s="27" t="s">
        <v>205</v>
      </c>
      <c r="C676" s="28">
        <v>0</v>
      </c>
      <c r="D676" s="13">
        <v>390536</v>
      </c>
      <c r="E676" s="13"/>
      <c r="F676" s="13">
        <v>25</v>
      </c>
      <c r="G676" s="13">
        <v>25</v>
      </c>
      <c r="H676" s="13"/>
      <c r="I676" s="13"/>
      <c r="J676" s="13"/>
      <c r="K676" s="13">
        <v>25</v>
      </c>
      <c r="L676" s="22" t="s">
        <v>21</v>
      </c>
      <c r="M676" s="22"/>
      <c r="N676" s="13">
        <f>IFERROR(VLOOKUP($A:$A,[1]KION_IND_E_COM_LT!$A:$T,18,0),"")</f>
        <v>0</v>
      </c>
      <c r="O676" s="14">
        <v>1</v>
      </c>
      <c r="P676" s="15">
        <f t="shared" si="10"/>
        <v>25</v>
      </c>
      <c r="Q676" s="16">
        <v>44067</v>
      </c>
      <c r="R676" s="17">
        <v>6</v>
      </c>
      <c r="S676" s="13" t="s">
        <v>0</v>
      </c>
    </row>
    <row r="677" spans="1:19" x14ac:dyDescent="0.25">
      <c r="A677" s="13">
        <v>982112161</v>
      </c>
      <c r="B677" s="27" t="s">
        <v>206</v>
      </c>
      <c r="C677" s="28">
        <v>0</v>
      </c>
      <c r="D677" s="13">
        <v>390536</v>
      </c>
      <c r="E677" s="13"/>
      <c r="F677" s="13">
        <v>20</v>
      </c>
      <c r="G677" s="13">
        <v>20</v>
      </c>
      <c r="H677" s="13"/>
      <c r="I677" s="13"/>
      <c r="J677" s="13"/>
      <c r="K677" s="13">
        <v>20</v>
      </c>
      <c r="L677" s="22" t="s">
        <v>21</v>
      </c>
      <c r="M677" s="13" t="s">
        <v>320</v>
      </c>
      <c r="N677" s="13">
        <f>IFERROR(VLOOKUP($A:$A,[1]KION_IND_E_COM_LT!$A:$T,18,0),"")</f>
        <v>0</v>
      </c>
      <c r="O677" s="14">
        <v>1</v>
      </c>
      <c r="P677" s="15">
        <f t="shared" si="10"/>
        <v>20</v>
      </c>
      <c r="Q677" s="16">
        <v>44067</v>
      </c>
      <c r="R677" s="17">
        <v>6</v>
      </c>
      <c r="S677" s="13" t="s">
        <v>0</v>
      </c>
    </row>
    <row r="678" spans="1:19" x14ac:dyDescent="0.25">
      <c r="A678" s="13">
        <v>982112171</v>
      </c>
      <c r="B678" s="27" t="s">
        <v>207</v>
      </c>
      <c r="C678" s="28">
        <v>0</v>
      </c>
      <c r="D678" s="13">
        <v>390536</v>
      </c>
      <c r="E678" s="13"/>
      <c r="F678" s="13">
        <v>20</v>
      </c>
      <c r="G678" s="13">
        <v>20</v>
      </c>
      <c r="H678" s="13"/>
      <c r="I678" s="13"/>
      <c r="J678" s="13"/>
      <c r="K678" s="13">
        <v>20</v>
      </c>
      <c r="L678" s="22" t="s">
        <v>21</v>
      </c>
      <c r="M678" s="22"/>
      <c r="N678" s="13">
        <f>IFERROR(VLOOKUP($A:$A,[1]KION_IND_E_COM_LT!$A:$T,18,0),"")</f>
        <v>0</v>
      </c>
      <c r="O678" s="14">
        <v>1</v>
      </c>
      <c r="P678" s="15">
        <f t="shared" si="10"/>
        <v>20</v>
      </c>
      <c r="Q678" s="16">
        <v>44067</v>
      </c>
      <c r="R678" s="17">
        <v>6</v>
      </c>
      <c r="S678" s="13" t="s">
        <v>0</v>
      </c>
    </row>
    <row r="679" spans="1:19" x14ac:dyDescent="0.25">
      <c r="A679" s="13">
        <v>982112181</v>
      </c>
      <c r="B679" s="27" t="s">
        <v>208</v>
      </c>
      <c r="C679" s="28">
        <v>0</v>
      </c>
      <c r="D679" s="13">
        <v>390536</v>
      </c>
      <c r="E679" s="13"/>
      <c r="F679" s="13">
        <v>30</v>
      </c>
      <c r="G679" s="13">
        <v>30</v>
      </c>
      <c r="H679" s="13"/>
      <c r="I679" s="13"/>
      <c r="J679" s="13"/>
      <c r="K679" s="13">
        <v>30</v>
      </c>
      <c r="L679" s="22" t="s">
        <v>21</v>
      </c>
      <c r="M679" s="22"/>
      <c r="N679" s="13">
        <f>IFERROR(VLOOKUP($A:$A,[1]KION_IND_E_COM_LT!$A:$T,18,0),"")</f>
        <v>0</v>
      </c>
      <c r="O679" s="14">
        <v>1</v>
      </c>
      <c r="P679" s="15">
        <f t="shared" si="10"/>
        <v>30</v>
      </c>
      <c r="Q679" s="16">
        <v>44067</v>
      </c>
      <c r="R679" s="17">
        <v>6</v>
      </c>
      <c r="S679" s="13" t="s">
        <v>0</v>
      </c>
    </row>
    <row r="680" spans="1:19" x14ac:dyDescent="0.25">
      <c r="A680" s="13">
        <v>982157141</v>
      </c>
      <c r="B680" s="27" t="s">
        <v>294</v>
      </c>
      <c r="C680" s="28">
        <v>0</v>
      </c>
      <c r="D680" s="13">
        <v>390702</v>
      </c>
      <c r="E680" s="13"/>
      <c r="F680" s="13">
        <v>90</v>
      </c>
      <c r="G680" s="13">
        <v>90</v>
      </c>
      <c r="H680" s="13"/>
      <c r="I680" s="13"/>
      <c r="J680" s="13"/>
      <c r="K680" s="13">
        <v>90</v>
      </c>
      <c r="L680" s="23"/>
      <c r="M680" s="13" t="s">
        <v>23</v>
      </c>
      <c r="N680" s="13" t="str">
        <f>IFERROR(VLOOKUP($A:$A,[1]KION_IND_E_COM_LT!$A:$T,18,0),"")</f>
        <v/>
      </c>
      <c r="O680" s="14">
        <v>1</v>
      </c>
      <c r="P680" s="15">
        <f t="shared" si="10"/>
        <v>90</v>
      </c>
      <c r="Q680" s="16" t="s">
        <v>3</v>
      </c>
      <c r="R680" s="17" t="s">
        <v>3</v>
      </c>
      <c r="S680" s="13" t="s">
        <v>0</v>
      </c>
    </row>
    <row r="681" spans="1:19" x14ac:dyDescent="0.25">
      <c r="A681" s="13">
        <v>982157142</v>
      </c>
      <c r="B681" s="27" t="s">
        <v>294</v>
      </c>
      <c r="C681" s="28">
        <v>0</v>
      </c>
      <c r="D681" s="13">
        <v>390702</v>
      </c>
      <c r="E681" s="13"/>
      <c r="F681" s="13">
        <v>50</v>
      </c>
      <c r="G681" s="13">
        <v>50</v>
      </c>
      <c r="H681" s="13"/>
      <c r="I681" s="13"/>
      <c r="J681" s="13"/>
      <c r="K681" s="13">
        <v>50</v>
      </c>
      <c r="L681" s="23"/>
      <c r="M681" s="13" t="s">
        <v>23</v>
      </c>
      <c r="N681" s="13" t="str">
        <f>IFERROR(VLOOKUP($A:$A,[1]KION_IND_E_COM_LT!$A:$T,18,0),"")</f>
        <v/>
      </c>
      <c r="O681" s="14">
        <v>1</v>
      </c>
      <c r="P681" s="15">
        <f t="shared" si="10"/>
        <v>50</v>
      </c>
      <c r="Q681" s="16" t="s">
        <v>3</v>
      </c>
      <c r="R681" s="17" t="s">
        <v>3</v>
      </c>
      <c r="S681" s="13" t="s">
        <v>0</v>
      </c>
    </row>
    <row r="682" spans="1:19" x14ac:dyDescent="0.25">
      <c r="A682" s="13">
        <v>982157143</v>
      </c>
      <c r="B682" s="27" t="s">
        <v>294</v>
      </c>
      <c r="C682" s="28">
        <v>0</v>
      </c>
      <c r="D682" s="13">
        <v>390702</v>
      </c>
      <c r="E682" s="13"/>
      <c r="F682" s="13">
        <v>37</v>
      </c>
      <c r="G682" s="13">
        <v>37</v>
      </c>
      <c r="H682" s="13"/>
      <c r="I682" s="13"/>
      <c r="J682" s="13"/>
      <c r="K682" s="13">
        <v>37</v>
      </c>
      <c r="L682" s="23"/>
      <c r="M682" s="13" t="s">
        <v>23</v>
      </c>
      <c r="N682" s="13" t="str">
        <f>IFERROR(VLOOKUP($A:$A,[1]KION_IND_E_COM_LT!$A:$T,18,0),"")</f>
        <v/>
      </c>
      <c r="O682" s="14">
        <v>1</v>
      </c>
      <c r="P682" s="15">
        <f t="shared" si="10"/>
        <v>37</v>
      </c>
      <c r="Q682" s="16" t="s">
        <v>3</v>
      </c>
      <c r="R682" s="17" t="s">
        <v>3</v>
      </c>
      <c r="S682" s="13" t="s">
        <v>0</v>
      </c>
    </row>
    <row r="683" spans="1:19" x14ac:dyDescent="0.25">
      <c r="A683" s="13">
        <v>982157361</v>
      </c>
      <c r="B683" s="27" t="s">
        <v>107</v>
      </c>
      <c r="C683" s="28">
        <v>4</v>
      </c>
      <c r="D683" s="13">
        <v>390702</v>
      </c>
      <c r="E683" s="13"/>
      <c r="F683" s="13">
        <v>90</v>
      </c>
      <c r="G683" s="13">
        <v>90</v>
      </c>
      <c r="H683" s="13"/>
      <c r="I683" s="13"/>
      <c r="J683" s="13"/>
      <c r="K683" s="13">
        <v>90</v>
      </c>
      <c r="L683" s="23"/>
      <c r="M683" s="13" t="s">
        <v>23</v>
      </c>
      <c r="N683" s="13" t="str">
        <f>IFERROR(VLOOKUP($A:$A,[1]KION_IND_E_COM_LT!$A:$T,18,0),"")</f>
        <v/>
      </c>
      <c r="O683" s="14">
        <v>1</v>
      </c>
      <c r="P683" s="15">
        <f t="shared" si="10"/>
        <v>90</v>
      </c>
      <c r="Q683" s="16" t="s">
        <v>3</v>
      </c>
      <c r="R683" s="17" t="s">
        <v>3</v>
      </c>
      <c r="S683" s="13" t="s">
        <v>0</v>
      </c>
    </row>
    <row r="684" spans="1:19" x14ac:dyDescent="0.25">
      <c r="A684" s="13">
        <v>982157362</v>
      </c>
      <c r="B684" s="27" t="s">
        <v>107</v>
      </c>
      <c r="C684" s="28">
        <v>4</v>
      </c>
      <c r="D684" s="13">
        <v>390702</v>
      </c>
      <c r="E684" s="13"/>
      <c r="F684" s="13">
        <v>50</v>
      </c>
      <c r="G684" s="13">
        <v>50</v>
      </c>
      <c r="H684" s="13"/>
      <c r="I684" s="13"/>
      <c r="J684" s="13"/>
      <c r="K684" s="13">
        <v>50</v>
      </c>
      <c r="L684" s="23"/>
      <c r="M684" s="13" t="s">
        <v>23</v>
      </c>
      <c r="N684" s="13" t="str">
        <f>IFERROR(VLOOKUP($A:$A,[1]KION_IND_E_COM_LT!$A:$T,18,0),"")</f>
        <v/>
      </c>
      <c r="O684" s="14">
        <v>1</v>
      </c>
      <c r="P684" s="15">
        <f t="shared" si="10"/>
        <v>50</v>
      </c>
      <c r="Q684" s="16" t="s">
        <v>3</v>
      </c>
      <c r="R684" s="17" t="s">
        <v>3</v>
      </c>
      <c r="S684" s="13" t="s">
        <v>0</v>
      </c>
    </row>
    <row r="685" spans="1:19" x14ac:dyDescent="0.25">
      <c r="A685" s="13">
        <v>982157363</v>
      </c>
      <c r="B685" s="27" t="s">
        <v>107</v>
      </c>
      <c r="C685" s="28">
        <v>4</v>
      </c>
      <c r="D685" s="13">
        <v>390702</v>
      </c>
      <c r="E685" s="13"/>
      <c r="F685" s="13">
        <v>40</v>
      </c>
      <c r="G685" s="13">
        <v>40</v>
      </c>
      <c r="H685" s="13"/>
      <c r="I685" s="13"/>
      <c r="J685" s="13"/>
      <c r="K685" s="13">
        <v>40</v>
      </c>
      <c r="L685" s="23"/>
      <c r="M685" s="13" t="s">
        <v>23</v>
      </c>
      <c r="N685" s="13" t="str">
        <f>IFERROR(VLOOKUP($A:$A,[1]KION_IND_E_COM_LT!$A:$T,18,0),"")</f>
        <v/>
      </c>
      <c r="O685" s="14">
        <v>1</v>
      </c>
      <c r="P685" s="15">
        <f t="shared" si="10"/>
        <v>40</v>
      </c>
      <c r="Q685" s="16" t="s">
        <v>3</v>
      </c>
      <c r="R685" s="17" t="s">
        <v>3</v>
      </c>
      <c r="S685" s="13" t="s">
        <v>0</v>
      </c>
    </row>
    <row r="686" spans="1:19" x14ac:dyDescent="0.25">
      <c r="A686" s="13">
        <v>982157381</v>
      </c>
      <c r="B686" s="27" t="s">
        <v>110</v>
      </c>
      <c r="C686" s="28">
        <v>3</v>
      </c>
      <c r="D686" s="13">
        <v>390702</v>
      </c>
      <c r="E686" s="13"/>
      <c r="F686" s="13">
        <v>90</v>
      </c>
      <c r="G686" s="13">
        <v>90</v>
      </c>
      <c r="H686" s="13"/>
      <c r="I686" s="13"/>
      <c r="J686" s="13"/>
      <c r="K686" s="13">
        <v>90</v>
      </c>
      <c r="L686" s="23"/>
      <c r="M686" s="13" t="s">
        <v>23</v>
      </c>
      <c r="N686" s="13" t="str">
        <f>IFERROR(VLOOKUP($A:$A,[1]KION_IND_E_COM_LT!$A:$T,18,0),"")</f>
        <v/>
      </c>
      <c r="O686" s="14">
        <v>1</v>
      </c>
      <c r="P686" s="15">
        <f t="shared" si="10"/>
        <v>90</v>
      </c>
      <c r="Q686" s="16" t="s">
        <v>3</v>
      </c>
      <c r="R686" s="17" t="s">
        <v>3</v>
      </c>
      <c r="S686" s="13" t="s">
        <v>0</v>
      </c>
    </row>
    <row r="687" spans="1:19" x14ac:dyDescent="0.25">
      <c r="A687" s="13">
        <v>982157382</v>
      </c>
      <c r="B687" s="27" t="s">
        <v>110</v>
      </c>
      <c r="C687" s="28">
        <v>3</v>
      </c>
      <c r="D687" s="13">
        <v>390702</v>
      </c>
      <c r="E687" s="13"/>
      <c r="F687" s="13">
        <v>50</v>
      </c>
      <c r="G687" s="13">
        <v>50</v>
      </c>
      <c r="H687" s="13"/>
      <c r="I687" s="13"/>
      <c r="J687" s="13"/>
      <c r="K687" s="13">
        <v>50</v>
      </c>
      <c r="L687" s="23"/>
      <c r="M687" s="13" t="s">
        <v>23</v>
      </c>
      <c r="N687" s="13" t="str">
        <f>IFERROR(VLOOKUP($A:$A,[1]KION_IND_E_COM_LT!$A:$T,18,0),"")</f>
        <v/>
      </c>
      <c r="O687" s="14">
        <v>1</v>
      </c>
      <c r="P687" s="15">
        <f t="shared" si="10"/>
        <v>50</v>
      </c>
      <c r="Q687" s="16" t="s">
        <v>3</v>
      </c>
      <c r="R687" s="17" t="s">
        <v>3</v>
      </c>
      <c r="S687" s="13" t="s">
        <v>0</v>
      </c>
    </row>
    <row r="688" spans="1:19" x14ac:dyDescent="0.25">
      <c r="A688" s="13">
        <v>982157383</v>
      </c>
      <c r="B688" s="27" t="s">
        <v>110</v>
      </c>
      <c r="C688" s="28">
        <v>3</v>
      </c>
      <c r="D688" s="13">
        <v>390702</v>
      </c>
      <c r="E688" s="13"/>
      <c r="F688" s="13">
        <v>40</v>
      </c>
      <c r="G688" s="13">
        <v>40</v>
      </c>
      <c r="H688" s="13"/>
      <c r="I688" s="13"/>
      <c r="J688" s="13"/>
      <c r="K688" s="13">
        <v>40</v>
      </c>
      <c r="L688" s="23"/>
      <c r="M688" s="13" t="s">
        <v>23</v>
      </c>
      <c r="N688" s="13" t="str">
        <f>IFERROR(VLOOKUP($A:$A,[1]KION_IND_E_COM_LT!$A:$T,18,0),"")</f>
        <v/>
      </c>
      <c r="O688" s="14">
        <v>1</v>
      </c>
      <c r="P688" s="15">
        <f t="shared" si="10"/>
        <v>40</v>
      </c>
      <c r="Q688" s="16" t="s">
        <v>3</v>
      </c>
      <c r="R688" s="17" t="s">
        <v>3</v>
      </c>
      <c r="S688" s="13" t="s">
        <v>0</v>
      </c>
    </row>
    <row r="689" spans="1:19" x14ac:dyDescent="0.25">
      <c r="A689" s="13">
        <v>982158301</v>
      </c>
      <c r="B689" s="27" t="s">
        <v>130</v>
      </c>
      <c r="C689" s="28">
        <v>1</v>
      </c>
      <c r="D689" s="13">
        <v>390702</v>
      </c>
      <c r="E689" s="13"/>
      <c r="F689" s="13">
        <v>100</v>
      </c>
      <c r="G689" s="13">
        <v>100</v>
      </c>
      <c r="H689" s="13"/>
      <c r="I689" s="13"/>
      <c r="J689" s="13"/>
      <c r="K689" s="13">
        <v>100</v>
      </c>
      <c r="L689" s="23"/>
      <c r="M689" s="13" t="s">
        <v>23</v>
      </c>
      <c r="N689" s="13" t="str">
        <f>IFERROR(VLOOKUP($A:$A,[1]KION_IND_E_COM_LT!$A:$T,18,0),"")</f>
        <v/>
      </c>
      <c r="O689" s="14">
        <v>1</v>
      </c>
      <c r="P689" s="15">
        <f t="shared" si="10"/>
        <v>100</v>
      </c>
      <c r="Q689" s="16" t="s">
        <v>3</v>
      </c>
      <c r="R689" s="17" t="s">
        <v>3</v>
      </c>
      <c r="S689" s="13" t="s">
        <v>0</v>
      </c>
    </row>
    <row r="690" spans="1:19" x14ac:dyDescent="0.25">
      <c r="A690" s="13">
        <v>982158341</v>
      </c>
      <c r="B690" s="27" t="s">
        <v>133</v>
      </c>
      <c r="C690" s="28">
        <v>1</v>
      </c>
      <c r="D690" s="13">
        <v>390702</v>
      </c>
      <c r="E690" s="13"/>
      <c r="F690" s="13">
        <v>50</v>
      </c>
      <c r="G690" s="13">
        <v>50</v>
      </c>
      <c r="H690" s="13"/>
      <c r="I690" s="13"/>
      <c r="J690" s="13"/>
      <c r="K690" s="13">
        <v>50</v>
      </c>
      <c r="L690" s="23"/>
      <c r="M690" s="13" t="s">
        <v>23</v>
      </c>
      <c r="N690" s="13" t="str">
        <f>IFERROR(VLOOKUP($A:$A,[1]KION_IND_E_COM_LT!$A:$T,18,0),"")</f>
        <v/>
      </c>
      <c r="O690" s="14">
        <v>1</v>
      </c>
      <c r="P690" s="15">
        <f t="shared" si="10"/>
        <v>50</v>
      </c>
      <c r="Q690" s="16" t="s">
        <v>3</v>
      </c>
      <c r="R690" s="17" t="s">
        <v>3</v>
      </c>
      <c r="S690" s="13" t="s">
        <v>0</v>
      </c>
    </row>
    <row r="691" spans="1:19" x14ac:dyDescent="0.25">
      <c r="A691" s="13">
        <v>982158342</v>
      </c>
      <c r="B691" s="27" t="s">
        <v>133</v>
      </c>
      <c r="C691" s="28">
        <v>1</v>
      </c>
      <c r="D691" s="13">
        <v>390702</v>
      </c>
      <c r="E691" s="13"/>
      <c r="F691" s="13">
        <v>150</v>
      </c>
      <c r="G691" s="13">
        <v>150</v>
      </c>
      <c r="H691" s="13"/>
      <c r="I691" s="13"/>
      <c r="J691" s="13"/>
      <c r="K691" s="13">
        <v>150</v>
      </c>
      <c r="L691" s="23"/>
      <c r="M691" s="13" t="s">
        <v>23</v>
      </c>
      <c r="N691" s="13" t="str">
        <f>IFERROR(VLOOKUP($A:$A,[1]KION_IND_E_COM_LT!$A:$T,18,0),"")</f>
        <v/>
      </c>
      <c r="O691" s="14">
        <v>1</v>
      </c>
      <c r="P691" s="15">
        <f t="shared" si="10"/>
        <v>150</v>
      </c>
      <c r="Q691" s="16" t="s">
        <v>3</v>
      </c>
      <c r="R691" s="17" t="s">
        <v>3</v>
      </c>
      <c r="S691" s="13" t="s">
        <v>0</v>
      </c>
    </row>
    <row r="692" spans="1:19" x14ac:dyDescent="0.25">
      <c r="A692" s="13">
        <v>982175481</v>
      </c>
      <c r="B692" s="27" t="s">
        <v>68</v>
      </c>
      <c r="C692" s="28">
        <v>0</v>
      </c>
      <c r="D692" s="13">
        <v>390702</v>
      </c>
      <c r="E692" s="13"/>
      <c r="F692" s="13">
        <v>300</v>
      </c>
      <c r="G692" s="13">
        <v>300</v>
      </c>
      <c r="H692" s="13"/>
      <c r="I692" s="13"/>
      <c r="J692" s="13"/>
      <c r="K692" s="13">
        <v>300</v>
      </c>
      <c r="L692" s="23"/>
      <c r="M692" s="13" t="s">
        <v>23</v>
      </c>
      <c r="N692" s="13" t="str">
        <f>IFERROR(VLOOKUP($A:$A,[1]KION_IND_E_COM_LT!$A:$T,18,0),"")</f>
        <v/>
      </c>
      <c r="O692" s="14">
        <v>1</v>
      </c>
      <c r="P692" s="15">
        <f t="shared" si="10"/>
        <v>300</v>
      </c>
      <c r="Q692" s="16">
        <v>44081</v>
      </c>
      <c r="R692" s="17">
        <v>11</v>
      </c>
      <c r="S692" s="13" t="s">
        <v>0</v>
      </c>
    </row>
    <row r="693" spans="1:19" x14ac:dyDescent="0.25">
      <c r="A693" s="13">
        <v>982175501</v>
      </c>
      <c r="B693" s="27" t="s">
        <v>176</v>
      </c>
      <c r="C693" s="28">
        <v>1</v>
      </c>
      <c r="D693" s="13">
        <v>390702</v>
      </c>
      <c r="E693" s="13"/>
      <c r="F693" s="13">
        <v>50</v>
      </c>
      <c r="G693" s="13">
        <v>50</v>
      </c>
      <c r="H693" s="13"/>
      <c r="I693" s="13"/>
      <c r="J693" s="13"/>
      <c r="K693" s="13">
        <v>50</v>
      </c>
      <c r="L693" s="23"/>
      <c r="M693" s="13" t="s">
        <v>23</v>
      </c>
      <c r="N693" s="13" t="str">
        <f>IFERROR(VLOOKUP($A:$A,[1]KION_IND_E_COM_LT!$A:$T,18,0),"")</f>
        <v/>
      </c>
      <c r="O693" s="14">
        <v>1</v>
      </c>
      <c r="P693" s="15">
        <f t="shared" si="10"/>
        <v>50</v>
      </c>
      <c r="Q693" s="16" t="s">
        <v>3</v>
      </c>
      <c r="R693" s="17" t="s">
        <v>3</v>
      </c>
      <c r="S693" s="13" t="s">
        <v>0</v>
      </c>
    </row>
    <row r="694" spans="1:19" x14ac:dyDescent="0.25">
      <c r="A694" s="13">
        <v>982175511</v>
      </c>
      <c r="B694" s="27" t="s">
        <v>302</v>
      </c>
      <c r="C694" s="28">
        <v>0</v>
      </c>
      <c r="D694" s="13">
        <v>390702</v>
      </c>
      <c r="E694" s="13"/>
      <c r="F694" s="13">
        <v>130</v>
      </c>
      <c r="G694" s="13">
        <v>130</v>
      </c>
      <c r="H694" s="13"/>
      <c r="I694" s="13"/>
      <c r="J694" s="13"/>
      <c r="K694" s="13">
        <v>130</v>
      </c>
      <c r="L694" s="23"/>
      <c r="M694" s="13" t="s">
        <v>23</v>
      </c>
      <c r="N694" s="13" t="str">
        <f>IFERROR(VLOOKUP($A:$A,[1]KION_IND_E_COM_LT!$A:$T,18,0),"")</f>
        <v/>
      </c>
      <c r="O694" s="14">
        <v>1</v>
      </c>
      <c r="P694" s="15">
        <f t="shared" si="10"/>
        <v>130</v>
      </c>
      <c r="Q694" s="16" t="s">
        <v>3</v>
      </c>
      <c r="R694" s="17" t="s">
        <v>3</v>
      </c>
      <c r="S694" s="13" t="s">
        <v>0</v>
      </c>
    </row>
    <row r="695" spans="1:19" x14ac:dyDescent="0.25">
      <c r="A695" s="13">
        <v>982175521</v>
      </c>
      <c r="B695" s="27" t="s">
        <v>151</v>
      </c>
      <c r="C695" s="28">
        <v>2</v>
      </c>
      <c r="D695" s="13">
        <v>390702</v>
      </c>
      <c r="E695" s="13"/>
      <c r="F695" s="13">
        <v>130</v>
      </c>
      <c r="G695" s="13">
        <v>130</v>
      </c>
      <c r="H695" s="13"/>
      <c r="I695" s="13"/>
      <c r="J695" s="13"/>
      <c r="K695" s="13">
        <v>130</v>
      </c>
      <c r="L695" s="23"/>
      <c r="M695" s="13" t="s">
        <v>23</v>
      </c>
      <c r="N695" s="13" t="str">
        <f>IFERROR(VLOOKUP($A:$A,[1]KION_IND_E_COM_LT!$A:$T,18,0),"")</f>
        <v/>
      </c>
      <c r="O695" s="14">
        <v>1</v>
      </c>
      <c r="P695" s="15">
        <f t="shared" si="10"/>
        <v>130</v>
      </c>
      <c r="Q695" s="16" t="s">
        <v>3</v>
      </c>
      <c r="R695" s="17" t="s">
        <v>3</v>
      </c>
      <c r="S695" s="13" t="s">
        <v>0</v>
      </c>
    </row>
    <row r="696" spans="1:19" x14ac:dyDescent="0.25">
      <c r="A696" s="13">
        <v>982175541</v>
      </c>
      <c r="B696" s="27" t="s">
        <v>96</v>
      </c>
      <c r="C696" s="28">
        <v>2</v>
      </c>
      <c r="D696" s="13">
        <v>390702</v>
      </c>
      <c r="E696" s="13"/>
      <c r="F696" s="13">
        <v>50</v>
      </c>
      <c r="G696" s="13">
        <v>50</v>
      </c>
      <c r="H696" s="13"/>
      <c r="I696" s="13"/>
      <c r="J696" s="13"/>
      <c r="K696" s="13">
        <v>50</v>
      </c>
      <c r="L696" s="23"/>
      <c r="M696" s="13" t="s">
        <v>23</v>
      </c>
      <c r="N696" s="13" t="str">
        <f>IFERROR(VLOOKUP($A:$A,[1]KION_IND_E_COM_LT!$A:$T,18,0),"")</f>
        <v/>
      </c>
      <c r="O696" s="14">
        <v>1</v>
      </c>
      <c r="P696" s="15">
        <f t="shared" si="10"/>
        <v>50</v>
      </c>
      <c r="Q696" s="16" t="s">
        <v>3</v>
      </c>
      <c r="R696" s="17" t="s">
        <v>3</v>
      </c>
      <c r="S696" s="13" t="s">
        <v>0</v>
      </c>
    </row>
    <row r="697" spans="1:19" x14ac:dyDescent="0.25">
      <c r="A697" s="13">
        <v>982175542</v>
      </c>
      <c r="B697" s="27" t="s">
        <v>96</v>
      </c>
      <c r="C697" s="28">
        <v>2</v>
      </c>
      <c r="D697" s="13">
        <v>390702</v>
      </c>
      <c r="E697" s="13"/>
      <c r="F697" s="13">
        <v>130</v>
      </c>
      <c r="G697" s="13">
        <v>130</v>
      </c>
      <c r="H697" s="13"/>
      <c r="I697" s="13"/>
      <c r="J697" s="13"/>
      <c r="K697" s="13">
        <v>130</v>
      </c>
      <c r="L697" s="23"/>
      <c r="M697" s="13" t="s">
        <v>23</v>
      </c>
      <c r="N697" s="13" t="str">
        <f>IFERROR(VLOOKUP($A:$A,[1]KION_IND_E_COM_LT!$A:$T,18,0),"")</f>
        <v/>
      </c>
      <c r="O697" s="14">
        <v>1</v>
      </c>
      <c r="P697" s="15">
        <f t="shared" si="10"/>
        <v>130</v>
      </c>
      <c r="Q697" s="16" t="s">
        <v>3</v>
      </c>
      <c r="R697" s="17" t="s">
        <v>3</v>
      </c>
      <c r="S697" s="13" t="s">
        <v>0</v>
      </c>
    </row>
    <row r="698" spans="1:19" x14ac:dyDescent="0.25">
      <c r="A698" s="13">
        <v>982175551</v>
      </c>
      <c r="B698" s="27" t="s">
        <v>100</v>
      </c>
      <c r="C698" s="28">
        <v>3</v>
      </c>
      <c r="D698" s="13">
        <v>390702</v>
      </c>
      <c r="E698" s="13"/>
      <c r="F698" s="13">
        <v>80</v>
      </c>
      <c r="G698" s="13">
        <v>80</v>
      </c>
      <c r="H698" s="13"/>
      <c r="I698" s="13"/>
      <c r="J698" s="13"/>
      <c r="K698" s="13">
        <v>80</v>
      </c>
      <c r="L698" s="23"/>
      <c r="M698" s="13" t="s">
        <v>23</v>
      </c>
      <c r="N698" s="13" t="str">
        <f>IFERROR(VLOOKUP($A:$A,[1]KION_IND_E_COM_LT!$A:$T,18,0),"")</f>
        <v/>
      </c>
      <c r="O698" s="14">
        <v>1</v>
      </c>
      <c r="P698" s="15">
        <f t="shared" si="10"/>
        <v>80</v>
      </c>
      <c r="Q698" s="16" t="s">
        <v>3</v>
      </c>
      <c r="R698" s="17" t="s">
        <v>3</v>
      </c>
      <c r="S698" s="13" t="s">
        <v>0</v>
      </c>
    </row>
    <row r="699" spans="1:19" x14ac:dyDescent="0.25">
      <c r="A699" s="13">
        <v>982175561</v>
      </c>
      <c r="B699" s="27" t="s">
        <v>120</v>
      </c>
      <c r="C699" s="28">
        <v>8</v>
      </c>
      <c r="D699" s="13">
        <v>390702</v>
      </c>
      <c r="E699" s="13"/>
      <c r="F699" s="13">
        <v>50</v>
      </c>
      <c r="G699" s="13">
        <v>50</v>
      </c>
      <c r="H699" s="13"/>
      <c r="I699" s="13"/>
      <c r="J699" s="13"/>
      <c r="K699" s="13">
        <v>50</v>
      </c>
      <c r="L699" s="23"/>
      <c r="M699" s="13" t="s">
        <v>23</v>
      </c>
      <c r="N699" s="13" t="str">
        <f>IFERROR(VLOOKUP($A:$A,[1]KION_IND_E_COM_LT!$A:$T,18,0),"")</f>
        <v/>
      </c>
      <c r="O699" s="14">
        <v>1</v>
      </c>
      <c r="P699" s="15">
        <f t="shared" si="10"/>
        <v>50</v>
      </c>
      <c r="Q699" s="16" t="s">
        <v>3</v>
      </c>
      <c r="R699" s="17" t="s">
        <v>3</v>
      </c>
      <c r="S699" s="13" t="s">
        <v>0</v>
      </c>
    </row>
    <row r="700" spans="1:19" x14ac:dyDescent="0.25">
      <c r="A700" s="13">
        <v>982175562</v>
      </c>
      <c r="B700" s="27" t="s">
        <v>120</v>
      </c>
      <c r="C700" s="28">
        <v>8</v>
      </c>
      <c r="D700" s="13">
        <v>390702</v>
      </c>
      <c r="E700" s="13"/>
      <c r="F700" s="13">
        <v>130</v>
      </c>
      <c r="G700" s="13">
        <v>130</v>
      </c>
      <c r="H700" s="13"/>
      <c r="I700" s="13"/>
      <c r="J700" s="13"/>
      <c r="K700" s="13">
        <v>130</v>
      </c>
      <c r="L700" s="23"/>
      <c r="M700" s="13" t="s">
        <v>23</v>
      </c>
      <c r="N700" s="13" t="str">
        <f>IFERROR(VLOOKUP($A:$A,[1]KION_IND_E_COM_LT!$A:$T,18,0),"")</f>
        <v/>
      </c>
      <c r="O700" s="14">
        <v>1</v>
      </c>
      <c r="P700" s="15">
        <f t="shared" si="10"/>
        <v>130</v>
      </c>
      <c r="Q700" s="16" t="s">
        <v>3</v>
      </c>
      <c r="R700" s="17" t="s">
        <v>3</v>
      </c>
      <c r="S700" s="13" t="s">
        <v>0</v>
      </c>
    </row>
    <row r="701" spans="1:19" x14ac:dyDescent="0.25">
      <c r="A701" s="13">
        <v>982175581</v>
      </c>
      <c r="B701" s="27" t="s">
        <v>293</v>
      </c>
      <c r="C701" s="28">
        <v>4</v>
      </c>
      <c r="D701" s="13">
        <v>390702</v>
      </c>
      <c r="E701" s="13"/>
      <c r="F701" s="13">
        <v>50</v>
      </c>
      <c r="G701" s="13">
        <v>50</v>
      </c>
      <c r="H701" s="13"/>
      <c r="I701" s="13"/>
      <c r="J701" s="13"/>
      <c r="K701" s="13">
        <v>50</v>
      </c>
      <c r="L701" s="23"/>
      <c r="M701" s="13" t="s">
        <v>23</v>
      </c>
      <c r="N701" s="13" t="str">
        <f>IFERROR(VLOOKUP($A:$A,[1]KION_IND_E_COM_LT!$A:$T,18,0),"")</f>
        <v/>
      </c>
      <c r="O701" s="14">
        <v>1</v>
      </c>
      <c r="P701" s="15">
        <f t="shared" si="10"/>
        <v>50</v>
      </c>
      <c r="Q701" s="16" t="s">
        <v>3</v>
      </c>
      <c r="R701" s="17" t="s">
        <v>3</v>
      </c>
      <c r="S701" s="13" t="s">
        <v>0</v>
      </c>
    </row>
    <row r="702" spans="1:19" x14ac:dyDescent="0.25">
      <c r="A702" s="13">
        <v>982175582</v>
      </c>
      <c r="B702" s="27" t="s">
        <v>293</v>
      </c>
      <c r="C702" s="28">
        <v>4</v>
      </c>
      <c r="D702" s="13">
        <v>390702</v>
      </c>
      <c r="E702" s="13"/>
      <c r="F702" s="13">
        <v>130</v>
      </c>
      <c r="G702" s="13">
        <v>130</v>
      </c>
      <c r="H702" s="13"/>
      <c r="I702" s="13"/>
      <c r="J702" s="13"/>
      <c r="K702" s="13">
        <v>130</v>
      </c>
      <c r="L702" s="23"/>
      <c r="M702" s="13" t="s">
        <v>23</v>
      </c>
      <c r="N702" s="13" t="str">
        <f>IFERROR(VLOOKUP($A:$A,[1]KION_IND_E_COM_LT!$A:$T,18,0),"")</f>
        <v/>
      </c>
      <c r="O702" s="14">
        <v>1</v>
      </c>
      <c r="P702" s="15">
        <f t="shared" si="10"/>
        <v>130</v>
      </c>
      <c r="Q702" s="16" t="s">
        <v>3</v>
      </c>
      <c r="R702" s="17" t="s">
        <v>3</v>
      </c>
      <c r="S702" s="13" t="s">
        <v>0</v>
      </c>
    </row>
    <row r="703" spans="1:19" x14ac:dyDescent="0.25">
      <c r="A703" s="13">
        <v>982175601</v>
      </c>
      <c r="B703" s="27" t="s">
        <v>132</v>
      </c>
      <c r="C703" s="28">
        <v>3</v>
      </c>
      <c r="D703" s="13">
        <v>390702</v>
      </c>
      <c r="E703" s="13"/>
      <c r="F703" s="13">
        <v>150</v>
      </c>
      <c r="G703" s="13">
        <v>150</v>
      </c>
      <c r="H703" s="13"/>
      <c r="I703" s="13"/>
      <c r="J703" s="13"/>
      <c r="K703" s="13">
        <v>150</v>
      </c>
      <c r="L703" s="23"/>
      <c r="M703" s="13" t="s">
        <v>23</v>
      </c>
      <c r="N703" s="13" t="str">
        <f>IFERROR(VLOOKUP($A:$A,[1]KION_IND_E_COM_LT!$A:$T,18,0),"")</f>
        <v/>
      </c>
      <c r="O703" s="14">
        <v>1</v>
      </c>
      <c r="P703" s="15">
        <f t="shared" si="10"/>
        <v>150</v>
      </c>
      <c r="Q703" s="16" t="s">
        <v>3</v>
      </c>
      <c r="R703" s="17" t="s">
        <v>3</v>
      </c>
      <c r="S703" s="13" t="s">
        <v>0</v>
      </c>
    </row>
    <row r="704" spans="1:19" x14ac:dyDescent="0.25">
      <c r="A704" s="13">
        <v>982175651</v>
      </c>
      <c r="B704" s="27" t="s">
        <v>81</v>
      </c>
      <c r="C704" s="28">
        <v>0</v>
      </c>
      <c r="D704" s="13">
        <v>390702</v>
      </c>
      <c r="E704" s="13"/>
      <c r="F704" s="13">
        <v>150</v>
      </c>
      <c r="G704" s="13">
        <v>150</v>
      </c>
      <c r="H704" s="13"/>
      <c r="I704" s="13"/>
      <c r="J704" s="13"/>
      <c r="K704" s="13">
        <v>150</v>
      </c>
      <c r="L704" s="23"/>
      <c r="M704" s="13" t="s">
        <v>23</v>
      </c>
      <c r="N704" s="13" t="str">
        <f>IFERROR(VLOOKUP($A:$A,[1]KION_IND_E_COM_LT!$A:$T,18,0),"")</f>
        <v/>
      </c>
      <c r="O704" s="14">
        <v>1</v>
      </c>
      <c r="P704" s="15">
        <f t="shared" si="10"/>
        <v>150</v>
      </c>
      <c r="Q704" s="16" t="s">
        <v>3</v>
      </c>
      <c r="R704" s="17" t="s">
        <v>3</v>
      </c>
      <c r="S704" s="13" t="s">
        <v>0</v>
      </c>
    </row>
    <row r="705" spans="1:19" x14ac:dyDescent="0.25">
      <c r="A705" s="13">
        <v>982175661</v>
      </c>
      <c r="B705" s="27" t="s">
        <v>108</v>
      </c>
      <c r="C705" s="28">
        <v>3</v>
      </c>
      <c r="D705" s="13">
        <v>390702</v>
      </c>
      <c r="E705" s="13"/>
      <c r="F705" s="13">
        <v>50</v>
      </c>
      <c r="G705" s="13">
        <v>50</v>
      </c>
      <c r="H705" s="13"/>
      <c r="I705" s="13"/>
      <c r="J705" s="13"/>
      <c r="K705" s="13">
        <v>50</v>
      </c>
      <c r="L705" s="23"/>
      <c r="M705" s="13" t="s">
        <v>23</v>
      </c>
      <c r="N705" s="13" t="str">
        <f>IFERROR(VLOOKUP($A:$A,[1]KION_IND_E_COM_LT!$A:$T,18,0),"")</f>
        <v/>
      </c>
      <c r="O705" s="14">
        <v>1</v>
      </c>
      <c r="P705" s="15">
        <f t="shared" si="10"/>
        <v>50</v>
      </c>
      <c r="Q705" s="16" t="s">
        <v>3</v>
      </c>
      <c r="R705" s="17" t="s">
        <v>3</v>
      </c>
      <c r="S705" s="13" t="s">
        <v>0</v>
      </c>
    </row>
    <row r="706" spans="1:19" x14ac:dyDescent="0.25">
      <c r="A706" s="13">
        <v>982175662</v>
      </c>
      <c r="B706" s="27" t="s">
        <v>108</v>
      </c>
      <c r="C706" s="28">
        <v>3</v>
      </c>
      <c r="D706" s="13">
        <v>390702</v>
      </c>
      <c r="E706" s="13"/>
      <c r="F706" s="13">
        <v>130</v>
      </c>
      <c r="G706" s="13">
        <v>130</v>
      </c>
      <c r="H706" s="13"/>
      <c r="I706" s="13"/>
      <c r="J706" s="13"/>
      <c r="K706" s="13">
        <v>130</v>
      </c>
      <c r="L706" s="23"/>
      <c r="M706" s="13" t="s">
        <v>23</v>
      </c>
      <c r="N706" s="13" t="str">
        <f>IFERROR(VLOOKUP($A:$A,[1]KION_IND_E_COM_LT!$A:$T,18,0),"")</f>
        <v/>
      </c>
      <c r="O706" s="14">
        <v>1</v>
      </c>
      <c r="P706" s="15">
        <f t="shared" si="10"/>
        <v>130</v>
      </c>
      <c r="Q706" s="16" t="s">
        <v>3</v>
      </c>
      <c r="R706" s="17" t="s">
        <v>3</v>
      </c>
      <c r="S706" s="13" t="s">
        <v>0</v>
      </c>
    </row>
    <row r="707" spans="1:19" x14ac:dyDescent="0.25">
      <c r="A707" s="13">
        <v>982175701</v>
      </c>
      <c r="B707" s="27" t="s">
        <v>186</v>
      </c>
      <c r="C707" s="28">
        <v>1</v>
      </c>
      <c r="D707" s="13">
        <v>390702</v>
      </c>
      <c r="E707" s="13"/>
      <c r="F707" s="13">
        <v>100</v>
      </c>
      <c r="G707" s="13">
        <v>100</v>
      </c>
      <c r="H707" s="13"/>
      <c r="I707" s="13"/>
      <c r="J707" s="13"/>
      <c r="K707" s="13">
        <v>100</v>
      </c>
      <c r="L707" s="23"/>
      <c r="M707" s="13" t="s">
        <v>23</v>
      </c>
      <c r="N707" s="13" t="str">
        <f>IFERROR(VLOOKUP($A:$A,[1]KION_IND_E_COM_LT!$A:$T,18,0),"")</f>
        <v/>
      </c>
      <c r="O707" s="14">
        <v>1</v>
      </c>
      <c r="P707" s="15">
        <f t="shared" ref="P707:P770" si="11">K707*O707</f>
        <v>100</v>
      </c>
      <c r="Q707" s="16" t="s">
        <v>3</v>
      </c>
      <c r="R707" s="17" t="s">
        <v>3</v>
      </c>
      <c r="S707" s="13" t="s">
        <v>0</v>
      </c>
    </row>
    <row r="708" spans="1:19" x14ac:dyDescent="0.25">
      <c r="A708" s="13">
        <v>982175702</v>
      </c>
      <c r="B708" s="27" t="s">
        <v>186</v>
      </c>
      <c r="C708" s="28">
        <v>1</v>
      </c>
      <c r="D708" s="13">
        <v>390702</v>
      </c>
      <c r="E708" s="13"/>
      <c r="F708" s="13">
        <v>280</v>
      </c>
      <c r="G708" s="13">
        <v>280</v>
      </c>
      <c r="H708" s="13"/>
      <c r="I708" s="13"/>
      <c r="J708" s="13"/>
      <c r="K708" s="13">
        <v>280</v>
      </c>
      <c r="L708" s="23"/>
      <c r="M708" s="13" t="s">
        <v>23</v>
      </c>
      <c r="N708" s="13" t="str">
        <f>IFERROR(VLOOKUP($A:$A,[1]KION_IND_E_COM_LT!$A:$T,18,0),"")</f>
        <v/>
      </c>
      <c r="O708" s="14">
        <v>1</v>
      </c>
      <c r="P708" s="15">
        <f t="shared" si="11"/>
        <v>280</v>
      </c>
      <c r="Q708" s="16" t="s">
        <v>3</v>
      </c>
      <c r="R708" s="17" t="s">
        <v>3</v>
      </c>
      <c r="S708" s="13" t="s">
        <v>0</v>
      </c>
    </row>
    <row r="709" spans="1:19" x14ac:dyDescent="0.25">
      <c r="A709" s="13">
        <v>982175721</v>
      </c>
      <c r="B709" s="27" t="s">
        <v>182</v>
      </c>
      <c r="C709" s="28">
        <v>0</v>
      </c>
      <c r="D709" s="13">
        <v>390702</v>
      </c>
      <c r="E709" s="13"/>
      <c r="F709" s="13">
        <v>50</v>
      </c>
      <c r="G709" s="13">
        <v>50</v>
      </c>
      <c r="H709" s="13"/>
      <c r="I709" s="13"/>
      <c r="J709" s="13"/>
      <c r="K709" s="13">
        <v>50</v>
      </c>
      <c r="L709" s="23"/>
      <c r="M709" s="13" t="s">
        <v>23</v>
      </c>
      <c r="N709" s="13" t="str">
        <f>IFERROR(VLOOKUP($A:$A,[1]KION_IND_E_COM_LT!$A:$T,18,0),"")</f>
        <v/>
      </c>
      <c r="O709" s="14">
        <v>1</v>
      </c>
      <c r="P709" s="15">
        <f t="shared" si="11"/>
        <v>50</v>
      </c>
      <c r="Q709" s="16" t="s">
        <v>3</v>
      </c>
      <c r="R709" s="17" t="s">
        <v>3</v>
      </c>
      <c r="S709" s="13" t="s">
        <v>0</v>
      </c>
    </row>
    <row r="710" spans="1:19" x14ac:dyDescent="0.25">
      <c r="A710" s="13">
        <v>982175722</v>
      </c>
      <c r="B710" s="27" t="s">
        <v>182</v>
      </c>
      <c r="C710" s="28">
        <v>0</v>
      </c>
      <c r="D710" s="13">
        <v>390702</v>
      </c>
      <c r="E710" s="13"/>
      <c r="F710" s="13">
        <v>130</v>
      </c>
      <c r="G710" s="13">
        <v>130</v>
      </c>
      <c r="H710" s="13"/>
      <c r="I710" s="13"/>
      <c r="J710" s="13"/>
      <c r="K710" s="13">
        <v>130</v>
      </c>
      <c r="L710" s="23"/>
      <c r="M710" s="13" t="s">
        <v>23</v>
      </c>
      <c r="N710" s="13" t="str">
        <f>IFERROR(VLOOKUP($A:$A,[1]KION_IND_E_COM_LT!$A:$T,18,0),"")</f>
        <v/>
      </c>
      <c r="O710" s="14">
        <v>1</v>
      </c>
      <c r="P710" s="15">
        <f t="shared" si="11"/>
        <v>130</v>
      </c>
      <c r="Q710" s="16" t="s">
        <v>3</v>
      </c>
      <c r="R710" s="17" t="s">
        <v>3</v>
      </c>
      <c r="S710" s="13" t="s">
        <v>0</v>
      </c>
    </row>
    <row r="711" spans="1:19" x14ac:dyDescent="0.25">
      <c r="A711" s="13">
        <v>982175751</v>
      </c>
      <c r="B711" s="27" t="s">
        <v>292</v>
      </c>
      <c r="C711" s="28">
        <v>3</v>
      </c>
      <c r="D711" s="13">
        <v>390702</v>
      </c>
      <c r="E711" s="13"/>
      <c r="F711" s="13">
        <v>50</v>
      </c>
      <c r="G711" s="13">
        <v>50</v>
      </c>
      <c r="H711" s="13"/>
      <c r="I711" s="13"/>
      <c r="J711" s="13"/>
      <c r="K711" s="13">
        <v>50</v>
      </c>
      <c r="L711" s="23"/>
      <c r="M711" s="13" t="s">
        <v>23</v>
      </c>
      <c r="N711" s="13" t="str">
        <f>IFERROR(VLOOKUP($A:$A,[1]KION_IND_E_COM_LT!$A:$T,18,0),"")</f>
        <v/>
      </c>
      <c r="O711" s="14">
        <v>1</v>
      </c>
      <c r="P711" s="15">
        <f t="shared" si="11"/>
        <v>50</v>
      </c>
      <c r="Q711" s="16" t="s">
        <v>3</v>
      </c>
      <c r="R711" s="17" t="s">
        <v>3</v>
      </c>
      <c r="S711" s="13" t="s">
        <v>0</v>
      </c>
    </row>
    <row r="712" spans="1:19" x14ac:dyDescent="0.25">
      <c r="A712" s="13">
        <v>982175752</v>
      </c>
      <c r="B712" s="27" t="s">
        <v>292</v>
      </c>
      <c r="C712" s="28">
        <v>3</v>
      </c>
      <c r="D712" s="13">
        <v>390702</v>
      </c>
      <c r="E712" s="13"/>
      <c r="F712" s="13">
        <v>130</v>
      </c>
      <c r="G712" s="13">
        <v>130</v>
      </c>
      <c r="H712" s="13"/>
      <c r="I712" s="13"/>
      <c r="J712" s="13"/>
      <c r="K712" s="13">
        <v>130</v>
      </c>
      <c r="L712" s="23"/>
      <c r="M712" s="13" t="s">
        <v>23</v>
      </c>
      <c r="N712" s="13" t="str">
        <f>IFERROR(VLOOKUP($A:$A,[1]KION_IND_E_COM_LT!$A:$T,18,0),"")</f>
        <v/>
      </c>
      <c r="O712" s="14">
        <v>1</v>
      </c>
      <c r="P712" s="15">
        <f t="shared" si="11"/>
        <v>130</v>
      </c>
      <c r="Q712" s="16" t="s">
        <v>3</v>
      </c>
      <c r="R712" s="17" t="s">
        <v>3</v>
      </c>
      <c r="S712" s="13" t="s">
        <v>0</v>
      </c>
    </row>
    <row r="713" spans="1:19" x14ac:dyDescent="0.25">
      <c r="A713" s="13">
        <v>982175761</v>
      </c>
      <c r="B713" s="27" t="s">
        <v>78</v>
      </c>
      <c r="C713" s="28">
        <v>1</v>
      </c>
      <c r="D713" s="13">
        <v>390702</v>
      </c>
      <c r="E713" s="13"/>
      <c r="F713" s="13">
        <v>100</v>
      </c>
      <c r="G713" s="13">
        <v>100</v>
      </c>
      <c r="H713" s="13"/>
      <c r="I713" s="13"/>
      <c r="J713" s="13"/>
      <c r="K713" s="13">
        <v>100</v>
      </c>
      <c r="L713" s="23"/>
      <c r="M713" s="13" t="s">
        <v>23</v>
      </c>
      <c r="N713" s="13" t="str">
        <f>IFERROR(VLOOKUP($A:$A,[1]KION_IND_E_COM_LT!$A:$T,18,0),"")</f>
        <v/>
      </c>
      <c r="O713" s="14">
        <v>1</v>
      </c>
      <c r="P713" s="15">
        <f t="shared" si="11"/>
        <v>100</v>
      </c>
      <c r="Q713" s="16" t="s">
        <v>3</v>
      </c>
      <c r="R713" s="17" t="s">
        <v>3</v>
      </c>
      <c r="S713" s="13" t="s">
        <v>0</v>
      </c>
    </row>
    <row r="714" spans="1:19" x14ac:dyDescent="0.25">
      <c r="A714" s="13">
        <v>982175762</v>
      </c>
      <c r="B714" s="27" t="s">
        <v>78</v>
      </c>
      <c r="C714" s="28">
        <v>1</v>
      </c>
      <c r="D714" s="13">
        <v>390702</v>
      </c>
      <c r="E714" s="13"/>
      <c r="F714" s="13">
        <v>250</v>
      </c>
      <c r="G714" s="13">
        <v>250</v>
      </c>
      <c r="H714" s="13"/>
      <c r="I714" s="13"/>
      <c r="J714" s="13"/>
      <c r="K714" s="13">
        <v>250</v>
      </c>
      <c r="L714" s="23"/>
      <c r="M714" s="13" t="s">
        <v>23</v>
      </c>
      <c r="N714" s="13" t="str">
        <f>IFERROR(VLOOKUP($A:$A,[1]KION_IND_E_COM_LT!$A:$T,18,0),"")</f>
        <v/>
      </c>
      <c r="O714" s="14">
        <v>1</v>
      </c>
      <c r="P714" s="15">
        <f t="shared" si="11"/>
        <v>250</v>
      </c>
      <c r="Q714" s="16" t="s">
        <v>3</v>
      </c>
      <c r="R714" s="17" t="s">
        <v>3</v>
      </c>
      <c r="S714" s="13" t="s">
        <v>0</v>
      </c>
    </row>
    <row r="715" spans="1:19" x14ac:dyDescent="0.25">
      <c r="A715" s="13">
        <v>982175771</v>
      </c>
      <c r="B715" s="27" t="s">
        <v>112</v>
      </c>
      <c r="C715" s="28">
        <v>1</v>
      </c>
      <c r="D715" s="13">
        <v>390702</v>
      </c>
      <c r="E715" s="13"/>
      <c r="F715" s="13">
        <v>50</v>
      </c>
      <c r="G715" s="13">
        <v>50</v>
      </c>
      <c r="H715" s="13"/>
      <c r="I715" s="13"/>
      <c r="J715" s="13"/>
      <c r="K715" s="13">
        <v>50</v>
      </c>
      <c r="L715" s="23"/>
      <c r="M715" s="13" t="s">
        <v>23</v>
      </c>
      <c r="N715" s="13" t="str">
        <f>IFERROR(VLOOKUP($A:$A,[1]KION_IND_E_COM_LT!$A:$T,18,0),"")</f>
        <v/>
      </c>
      <c r="O715" s="14">
        <v>1</v>
      </c>
      <c r="P715" s="15">
        <f t="shared" si="11"/>
        <v>50</v>
      </c>
      <c r="Q715" s="16" t="s">
        <v>3</v>
      </c>
      <c r="R715" s="17" t="s">
        <v>3</v>
      </c>
      <c r="S715" s="13" t="s">
        <v>0</v>
      </c>
    </row>
    <row r="716" spans="1:19" x14ac:dyDescent="0.25">
      <c r="A716" s="13">
        <v>982175772</v>
      </c>
      <c r="B716" s="27" t="s">
        <v>112</v>
      </c>
      <c r="C716" s="28">
        <v>1</v>
      </c>
      <c r="D716" s="13">
        <v>390702</v>
      </c>
      <c r="E716" s="13"/>
      <c r="F716" s="13">
        <v>130</v>
      </c>
      <c r="G716" s="13">
        <v>130</v>
      </c>
      <c r="H716" s="13"/>
      <c r="I716" s="13"/>
      <c r="J716" s="13"/>
      <c r="K716" s="13">
        <v>130</v>
      </c>
      <c r="L716" s="23"/>
      <c r="M716" s="13" t="s">
        <v>23</v>
      </c>
      <c r="N716" s="13" t="str">
        <f>IFERROR(VLOOKUP($A:$A,[1]KION_IND_E_COM_LT!$A:$T,18,0),"")</f>
        <v/>
      </c>
      <c r="O716" s="14">
        <v>1</v>
      </c>
      <c r="P716" s="15">
        <f t="shared" si="11"/>
        <v>130</v>
      </c>
      <c r="Q716" s="16" t="s">
        <v>3</v>
      </c>
      <c r="R716" s="17" t="s">
        <v>3</v>
      </c>
      <c r="S716" s="13" t="s">
        <v>0</v>
      </c>
    </row>
    <row r="717" spans="1:19" x14ac:dyDescent="0.25">
      <c r="A717" s="13">
        <v>982175781</v>
      </c>
      <c r="B717" s="27" t="s">
        <v>113</v>
      </c>
      <c r="C717" s="28">
        <v>1</v>
      </c>
      <c r="D717" s="13">
        <v>390702</v>
      </c>
      <c r="E717" s="13"/>
      <c r="F717" s="13">
        <v>50</v>
      </c>
      <c r="G717" s="13">
        <v>50</v>
      </c>
      <c r="H717" s="13"/>
      <c r="I717" s="13"/>
      <c r="J717" s="13"/>
      <c r="K717" s="13">
        <v>50</v>
      </c>
      <c r="L717" s="23"/>
      <c r="M717" s="13" t="s">
        <v>23</v>
      </c>
      <c r="N717" s="13" t="str">
        <f>IFERROR(VLOOKUP($A:$A,[1]KION_IND_E_COM_LT!$A:$T,18,0),"")</f>
        <v/>
      </c>
      <c r="O717" s="14">
        <v>1</v>
      </c>
      <c r="P717" s="15">
        <f t="shared" si="11"/>
        <v>50</v>
      </c>
      <c r="Q717" s="16" t="s">
        <v>3</v>
      </c>
      <c r="R717" s="17" t="s">
        <v>3</v>
      </c>
      <c r="S717" s="13" t="s">
        <v>0</v>
      </c>
    </row>
    <row r="718" spans="1:19" x14ac:dyDescent="0.25">
      <c r="A718" s="13">
        <v>982175782</v>
      </c>
      <c r="B718" s="27" t="s">
        <v>113</v>
      </c>
      <c r="C718" s="28">
        <v>1</v>
      </c>
      <c r="D718" s="13">
        <v>390702</v>
      </c>
      <c r="E718" s="13"/>
      <c r="F718" s="13">
        <v>130</v>
      </c>
      <c r="G718" s="13">
        <v>130</v>
      </c>
      <c r="H718" s="13"/>
      <c r="I718" s="13"/>
      <c r="J718" s="13"/>
      <c r="K718" s="13">
        <v>130</v>
      </c>
      <c r="L718" s="23"/>
      <c r="M718" s="13" t="s">
        <v>23</v>
      </c>
      <c r="N718" s="13" t="str">
        <f>IFERROR(VLOOKUP($A:$A,[1]KION_IND_E_COM_LT!$A:$T,18,0),"")</f>
        <v/>
      </c>
      <c r="O718" s="14">
        <v>1</v>
      </c>
      <c r="P718" s="15">
        <f t="shared" si="11"/>
        <v>130</v>
      </c>
      <c r="Q718" s="16" t="s">
        <v>3</v>
      </c>
      <c r="R718" s="17" t="s">
        <v>3</v>
      </c>
      <c r="S718" s="13" t="s">
        <v>0</v>
      </c>
    </row>
    <row r="719" spans="1:19" x14ac:dyDescent="0.25">
      <c r="A719" s="13">
        <v>982175791</v>
      </c>
      <c r="B719" s="27" t="s">
        <v>297</v>
      </c>
      <c r="C719" s="28">
        <v>3</v>
      </c>
      <c r="D719" s="13">
        <v>390702</v>
      </c>
      <c r="E719" s="13"/>
      <c r="F719" s="13">
        <v>100</v>
      </c>
      <c r="G719" s="13">
        <v>100</v>
      </c>
      <c r="H719" s="13"/>
      <c r="I719" s="13"/>
      <c r="J719" s="13"/>
      <c r="K719" s="13">
        <v>100</v>
      </c>
      <c r="L719" s="23"/>
      <c r="M719" s="13" t="s">
        <v>23</v>
      </c>
      <c r="N719" s="13" t="str">
        <f>IFERROR(VLOOKUP($A:$A,[1]KION_IND_E_COM_LT!$A:$T,18,0),"")</f>
        <v/>
      </c>
      <c r="O719" s="14">
        <v>1</v>
      </c>
      <c r="P719" s="15">
        <f t="shared" si="11"/>
        <v>100</v>
      </c>
      <c r="Q719" s="16" t="s">
        <v>3</v>
      </c>
      <c r="R719" s="17" t="s">
        <v>3</v>
      </c>
      <c r="S719" s="13" t="s">
        <v>0</v>
      </c>
    </row>
    <row r="720" spans="1:19" x14ac:dyDescent="0.25">
      <c r="A720" s="13">
        <v>982175792</v>
      </c>
      <c r="B720" s="27" t="s">
        <v>297</v>
      </c>
      <c r="C720" s="28">
        <v>3</v>
      </c>
      <c r="D720" s="13">
        <v>390702</v>
      </c>
      <c r="E720" s="13"/>
      <c r="F720" s="13">
        <v>150</v>
      </c>
      <c r="G720" s="13">
        <v>150</v>
      </c>
      <c r="H720" s="13"/>
      <c r="I720" s="13"/>
      <c r="J720" s="13"/>
      <c r="K720" s="13">
        <v>150</v>
      </c>
      <c r="L720" s="23"/>
      <c r="M720" s="13" t="s">
        <v>23</v>
      </c>
      <c r="N720" s="13" t="str">
        <f>IFERROR(VLOOKUP($A:$A,[1]KION_IND_E_COM_LT!$A:$T,18,0),"")</f>
        <v/>
      </c>
      <c r="O720" s="14">
        <v>1</v>
      </c>
      <c r="P720" s="15">
        <f t="shared" si="11"/>
        <v>150</v>
      </c>
      <c r="Q720" s="16" t="s">
        <v>3</v>
      </c>
      <c r="R720" s="17" t="s">
        <v>3</v>
      </c>
      <c r="S720" s="13" t="s">
        <v>0</v>
      </c>
    </row>
    <row r="721" spans="1:19" x14ac:dyDescent="0.25">
      <c r="A721" s="13">
        <v>982175821</v>
      </c>
      <c r="B721" s="27" t="s">
        <v>114</v>
      </c>
      <c r="C721" s="28">
        <v>2</v>
      </c>
      <c r="D721" s="13">
        <v>390702</v>
      </c>
      <c r="E721" s="13"/>
      <c r="F721" s="13">
        <v>20</v>
      </c>
      <c r="G721" s="13">
        <v>20</v>
      </c>
      <c r="H721" s="13"/>
      <c r="I721" s="13"/>
      <c r="J721" s="13"/>
      <c r="K721" s="13">
        <v>20</v>
      </c>
      <c r="L721" s="23"/>
      <c r="M721" s="13" t="s">
        <v>23</v>
      </c>
      <c r="N721" s="13" t="str">
        <f>IFERROR(VLOOKUP($A:$A,[1]KION_IND_E_COM_LT!$A:$T,18,0),"")</f>
        <v/>
      </c>
      <c r="O721" s="14">
        <v>1</v>
      </c>
      <c r="P721" s="15">
        <f t="shared" si="11"/>
        <v>20</v>
      </c>
      <c r="Q721" s="16" t="s">
        <v>3</v>
      </c>
      <c r="R721" s="17" t="s">
        <v>3</v>
      </c>
      <c r="S721" s="13" t="s">
        <v>0</v>
      </c>
    </row>
    <row r="722" spans="1:19" x14ac:dyDescent="0.25">
      <c r="A722" s="13">
        <v>982175822</v>
      </c>
      <c r="B722" s="27" t="s">
        <v>114</v>
      </c>
      <c r="C722" s="28">
        <v>2</v>
      </c>
      <c r="D722" s="13">
        <v>390702</v>
      </c>
      <c r="E722" s="13"/>
      <c r="F722" s="13">
        <v>150</v>
      </c>
      <c r="G722" s="13">
        <v>150</v>
      </c>
      <c r="H722" s="13"/>
      <c r="I722" s="13"/>
      <c r="J722" s="13"/>
      <c r="K722" s="13">
        <v>150</v>
      </c>
      <c r="L722" s="23"/>
      <c r="M722" s="13" t="s">
        <v>23</v>
      </c>
      <c r="N722" s="13" t="str">
        <f>IFERROR(VLOOKUP($A:$A,[1]KION_IND_E_COM_LT!$A:$T,18,0),"")</f>
        <v/>
      </c>
      <c r="O722" s="14">
        <v>1</v>
      </c>
      <c r="P722" s="15">
        <f t="shared" si="11"/>
        <v>150</v>
      </c>
      <c r="Q722" s="16" t="s">
        <v>3</v>
      </c>
      <c r="R722" s="17" t="s">
        <v>3</v>
      </c>
      <c r="S722" s="13" t="s">
        <v>0</v>
      </c>
    </row>
    <row r="723" spans="1:19" x14ac:dyDescent="0.25">
      <c r="A723" s="13">
        <v>982175871</v>
      </c>
      <c r="B723" s="27" t="s">
        <v>298</v>
      </c>
      <c r="C723" s="28">
        <v>2</v>
      </c>
      <c r="D723" s="13">
        <v>390702</v>
      </c>
      <c r="E723" s="13"/>
      <c r="F723" s="13">
        <v>50</v>
      </c>
      <c r="G723" s="13">
        <v>50</v>
      </c>
      <c r="H723" s="13"/>
      <c r="I723" s="13"/>
      <c r="J723" s="13"/>
      <c r="K723" s="13">
        <v>50</v>
      </c>
      <c r="L723" s="23"/>
      <c r="M723" s="13" t="s">
        <v>23</v>
      </c>
      <c r="N723" s="13" t="str">
        <f>IFERROR(VLOOKUP($A:$A,[1]KION_IND_E_COM_LT!$A:$T,18,0),"")</f>
        <v/>
      </c>
      <c r="O723" s="14">
        <v>1</v>
      </c>
      <c r="P723" s="15">
        <f t="shared" si="11"/>
        <v>50</v>
      </c>
      <c r="Q723" s="16" t="s">
        <v>3</v>
      </c>
      <c r="R723" s="17" t="s">
        <v>3</v>
      </c>
      <c r="S723" s="13" t="s">
        <v>0</v>
      </c>
    </row>
    <row r="724" spans="1:19" x14ac:dyDescent="0.25">
      <c r="A724" s="13">
        <v>982175872</v>
      </c>
      <c r="B724" s="27" t="s">
        <v>298</v>
      </c>
      <c r="C724" s="28">
        <v>2</v>
      </c>
      <c r="D724" s="13">
        <v>390702</v>
      </c>
      <c r="E724" s="13"/>
      <c r="F724" s="13">
        <v>130</v>
      </c>
      <c r="G724" s="13">
        <v>130</v>
      </c>
      <c r="H724" s="13"/>
      <c r="I724" s="13"/>
      <c r="J724" s="13"/>
      <c r="K724" s="13">
        <v>130</v>
      </c>
      <c r="L724" s="23"/>
      <c r="M724" s="13" t="s">
        <v>23</v>
      </c>
      <c r="N724" s="13" t="str">
        <f>IFERROR(VLOOKUP($A:$A,[1]KION_IND_E_COM_LT!$A:$T,18,0),"")</f>
        <v/>
      </c>
      <c r="O724" s="14">
        <v>1</v>
      </c>
      <c r="P724" s="15">
        <f t="shared" si="11"/>
        <v>130</v>
      </c>
      <c r="Q724" s="16" t="s">
        <v>3</v>
      </c>
      <c r="R724" s="17" t="s">
        <v>3</v>
      </c>
      <c r="S724" s="13" t="s">
        <v>0</v>
      </c>
    </row>
    <row r="725" spans="1:19" x14ac:dyDescent="0.25">
      <c r="A725" s="13">
        <v>982175881</v>
      </c>
      <c r="B725" s="27" t="s">
        <v>299</v>
      </c>
      <c r="C725" s="28">
        <v>3</v>
      </c>
      <c r="D725" s="13">
        <v>390702</v>
      </c>
      <c r="E725" s="13"/>
      <c r="F725" s="13">
        <v>50</v>
      </c>
      <c r="G725" s="13">
        <v>50</v>
      </c>
      <c r="H725" s="13"/>
      <c r="I725" s="13"/>
      <c r="J725" s="13"/>
      <c r="K725" s="13">
        <v>50</v>
      </c>
      <c r="L725" s="23"/>
      <c r="M725" s="13" t="s">
        <v>23</v>
      </c>
      <c r="N725" s="13" t="str">
        <f>IFERROR(VLOOKUP($A:$A,[1]KION_IND_E_COM_LT!$A:$T,18,0),"")</f>
        <v/>
      </c>
      <c r="O725" s="14">
        <v>1</v>
      </c>
      <c r="P725" s="15">
        <f t="shared" si="11"/>
        <v>50</v>
      </c>
      <c r="Q725" s="16" t="s">
        <v>3</v>
      </c>
      <c r="R725" s="17" t="s">
        <v>3</v>
      </c>
      <c r="S725" s="13" t="s">
        <v>0</v>
      </c>
    </row>
    <row r="726" spans="1:19" x14ac:dyDescent="0.25">
      <c r="A726" s="13">
        <v>982175882</v>
      </c>
      <c r="B726" s="27" t="s">
        <v>299</v>
      </c>
      <c r="C726" s="28">
        <v>3</v>
      </c>
      <c r="D726" s="13">
        <v>390702</v>
      </c>
      <c r="E726" s="13"/>
      <c r="F726" s="13">
        <v>130</v>
      </c>
      <c r="G726" s="13">
        <v>130</v>
      </c>
      <c r="H726" s="13"/>
      <c r="I726" s="13"/>
      <c r="J726" s="13"/>
      <c r="K726" s="13">
        <v>130</v>
      </c>
      <c r="L726" s="23"/>
      <c r="M726" s="13" t="s">
        <v>23</v>
      </c>
      <c r="N726" s="13" t="str">
        <f>IFERROR(VLOOKUP($A:$A,[1]KION_IND_E_COM_LT!$A:$T,18,0),"")</f>
        <v/>
      </c>
      <c r="O726" s="14">
        <v>1</v>
      </c>
      <c r="P726" s="15">
        <f t="shared" si="11"/>
        <v>130</v>
      </c>
      <c r="Q726" s="16" t="s">
        <v>3</v>
      </c>
      <c r="R726" s="17" t="s">
        <v>3</v>
      </c>
      <c r="S726" s="13" t="s">
        <v>0</v>
      </c>
    </row>
    <row r="727" spans="1:19" x14ac:dyDescent="0.25">
      <c r="A727" s="13">
        <v>982175891</v>
      </c>
      <c r="B727" s="27" t="s">
        <v>300</v>
      </c>
      <c r="C727" s="28">
        <v>0</v>
      </c>
      <c r="D727" s="13">
        <v>390702</v>
      </c>
      <c r="E727" s="13"/>
      <c r="F727" s="13">
        <v>50</v>
      </c>
      <c r="G727" s="13">
        <v>50</v>
      </c>
      <c r="H727" s="13"/>
      <c r="I727" s="13"/>
      <c r="J727" s="13"/>
      <c r="K727" s="13">
        <v>50</v>
      </c>
      <c r="L727" s="23"/>
      <c r="M727" s="13" t="s">
        <v>23</v>
      </c>
      <c r="N727" s="13" t="str">
        <f>IFERROR(VLOOKUP($A:$A,[1]KION_IND_E_COM_LT!$A:$T,18,0),"")</f>
        <v/>
      </c>
      <c r="O727" s="14">
        <v>1</v>
      </c>
      <c r="P727" s="15">
        <f t="shared" si="11"/>
        <v>50</v>
      </c>
      <c r="Q727" s="16" t="s">
        <v>3</v>
      </c>
      <c r="R727" s="17" t="s">
        <v>3</v>
      </c>
      <c r="S727" s="13" t="s">
        <v>0</v>
      </c>
    </row>
    <row r="728" spans="1:19" x14ac:dyDescent="0.25">
      <c r="A728" s="13">
        <v>982175892</v>
      </c>
      <c r="B728" s="27" t="s">
        <v>300</v>
      </c>
      <c r="C728" s="28">
        <v>0</v>
      </c>
      <c r="D728" s="13">
        <v>390702</v>
      </c>
      <c r="E728" s="13"/>
      <c r="F728" s="13">
        <v>130</v>
      </c>
      <c r="G728" s="13">
        <v>130</v>
      </c>
      <c r="H728" s="13"/>
      <c r="I728" s="13"/>
      <c r="J728" s="13"/>
      <c r="K728" s="13">
        <v>130</v>
      </c>
      <c r="L728" s="23"/>
      <c r="M728" s="13" t="s">
        <v>23</v>
      </c>
      <c r="N728" s="13" t="str">
        <f>IFERROR(VLOOKUP($A:$A,[1]KION_IND_E_COM_LT!$A:$T,18,0),"")</f>
        <v/>
      </c>
      <c r="O728" s="14">
        <v>1</v>
      </c>
      <c r="P728" s="15">
        <f t="shared" si="11"/>
        <v>130</v>
      </c>
      <c r="Q728" s="16" t="s">
        <v>3</v>
      </c>
      <c r="R728" s="17" t="s">
        <v>3</v>
      </c>
      <c r="S728" s="13" t="s">
        <v>0</v>
      </c>
    </row>
    <row r="729" spans="1:19" x14ac:dyDescent="0.25">
      <c r="A729" s="13">
        <v>982175931</v>
      </c>
      <c r="B729" s="27" t="s">
        <v>221</v>
      </c>
      <c r="C729" s="28">
        <v>1</v>
      </c>
      <c r="D729" s="13">
        <v>390702</v>
      </c>
      <c r="E729" s="13"/>
      <c r="F729" s="13">
        <v>100</v>
      </c>
      <c r="G729" s="13">
        <v>100</v>
      </c>
      <c r="H729" s="13"/>
      <c r="I729" s="13"/>
      <c r="J729" s="13"/>
      <c r="K729" s="13">
        <v>100</v>
      </c>
      <c r="L729" s="23"/>
      <c r="M729" s="13" t="s">
        <v>23</v>
      </c>
      <c r="N729" s="13" t="str">
        <f>IFERROR(VLOOKUP($A:$A,[1]KION_IND_E_COM_LT!$A:$T,18,0),"")</f>
        <v/>
      </c>
      <c r="O729" s="14">
        <v>1</v>
      </c>
      <c r="P729" s="15">
        <f t="shared" si="11"/>
        <v>100</v>
      </c>
      <c r="Q729" s="16" t="s">
        <v>3</v>
      </c>
      <c r="R729" s="17" t="s">
        <v>3</v>
      </c>
      <c r="S729" s="13" t="s">
        <v>0</v>
      </c>
    </row>
    <row r="730" spans="1:19" x14ac:dyDescent="0.25">
      <c r="A730" s="13">
        <v>982175971</v>
      </c>
      <c r="B730" s="27" t="s">
        <v>87</v>
      </c>
      <c r="C730" s="28">
        <v>4</v>
      </c>
      <c r="D730" s="13">
        <v>390702</v>
      </c>
      <c r="E730" s="13"/>
      <c r="F730" s="13">
        <v>50</v>
      </c>
      <c r="G730" s="13">
        <v>50</v>
      </c>
      <c r="H730" s="13"/>
      <c r="I730" s="13"/>
      <c r="J730" s="13"/>
      <c r="K730" s="13">
        <v>50</v>
      </c>
      <c r="L730" s="23"/>
      <c r="M730" s="13" t="s">
        <v>23</v>
      </c>
      <c r="N730" s="13" t="str">
        <f>IFERROR(VLOOKUP($A:$A,[1]KION_IND_E_COM_LT!$A:$T,18,0),"")</f>
        <v/>
      </c>
      <c r="O730" s="14">
        <v>1</v>
      </c>
      <c r="P730" s="15">
        <f t="shared" si="11"/>
        <v>50</v>
      </c>
      <c r="Q730" s="16" t="s">
        <v>3</v>
      </c>
      <c r="R730" s="17" t="s">
        <v>3</v>
      </c>
      <c r="S730" s="13" t="s">
        <v>0</v>
      </c>
    </row>
    <row r="731" spans="1:19" x14ac:dyDescent="0.25">
      <c r="A731" s="13">
        <v>982175972</v>
      </c>
      <c r="B731" s="27" t="s">
        <v>87</v>
      </c>
      <c r="C731" s="28">
        <v>4</v>
      </c>
      <c r="D731" s="13">
        <v>390702</v>
      </c>
      <c r="E731" s="13"/>
      <c r="F731" s="13">
        <v>120</v>
      </c>
      <c r="G731" s="13">
        <v>120</v>
      </c>
      <c r="H731" s="13"/>
      <c r="I731" s="13"/>
      <c r="J731" s="13"/>
      <c r="K731" s="13">
        <v>120</v>
      </c>
      <c r="L731" s="23"/>
      <c r="M731" s="13" t="s">
        <v>23</v>
      </c>
      <c r="N731" s="13" t="str">
        <f>IFERROR(VLOOKUP($A:$A,[1]KION_IND_E_COM_LT!$A:$T,18,0),"")</f>
        <v/>
      </c>
      <c r="O731" s="14">
        <v>1</v>
      </c>
      <c r="P731" s="15">
        <f t="shared" si="11"/>
        <v>120</v>
      </c>
      <c r="Q731" s="16" t="s">
        <v>3</v>
      </c>
      <c r="R731" s="17" t="s">
        <v>3</v>
      </c>
      <c r="S731" s="13" t="s">
        <v>0</v>
      </c>
    </row>
    <row r="732" spans="1:19" x14ac:dyDescent="0.25">
      <c r="A732" s="13">
        <v>982175991</v>
      </c>
      <c r="B732" s="27" t="s">
        <v>95</v>
      </c>
      <c r="C732" s="28">
        <v>3</v>
      </c>
      <c r="D732" s="13">
        <v>390702</v>
      </c>
      <c r="E732" s="13"/>
      <c r="F732" s="13">
        <v>150</v>
      </c>
      <c r="G732" s="13">
        <v>150</v>
      </c>
      <c r="H732" s="13"/>
      <c r="I732" s="13"/>
      <c r="J732" s="13"/>
      <c r="K732" s="13">
        <v>150</v>
      </c>
      <c r="L732" s="23"/>
      <c r="M732" s="13" t="s">
        <v>23</v>
      </c>
      <c r="N732" s="13" t="str">
        <f>IFERROR(VLOOKUP($A:$A,[1]KION_IND_E_COM_LT!$A:$T,18,0),"")</f>
        <v/>
      </c>
      <c r="O732" s="14">
        <v>1</v>
      </c>
      <c r="P732" s="15">
        <f t="shared" si="11"/>
        <v>150</v>
      </c>
      <c r="Q732" s="16" t="s">
        <v>3</v>
      </c>
      <c r="R732" s="17" t="s">
        <v>3</v>
      </c>
      <c r="S732" s="13" t="s">
        <v>0</v>
      </c>
    </row>
    <row r="733" spans="1:19" x14ac:dyDescent="0.25">
      <c r="A733" s="13">
        <v>999930383</v>
      </c>
      <c r="B733" s="27" t="s">
        <v>227</v>
      </c>
      <c r="C733" s="28">
        <v>2</v>
      </c>
      <c r="D733" s="13">
        <v>681202</v>
      </c>
      <c r="E733" s="13" t="s">
        <v>2</v>
      </c>
      <c r="F733" s="13">
        <v>100</v>
      </c>
      <c r="G733" s="13">
        <v>100</v>
      </c>
      <c r="H733" s="13"/>
      <c r="I733" s="13"/>
      <c r="J733" s="13"/>
      <c r="K733" s="13">
        <v>100</v>
      </c>
      <c r="L733" s="22" t="s">
        <v>21</v>
      </c>
      <c r="M733" s="13" t="s">
        <v>320</v>
      </c>
      <c r="N733" s="22" t="s">
        <v>64</v>
      </c>
      <c r="O733" s="14">
        <v>1</v>
      </c>
      <c r="P733" s="15">
        <f t="shared" si="11"/>
        <v>100</v>
      </c>
      <c r="Q733" s="16">
        <v>44053</v>
      </c>
      <c r="R733" s="17">
        <v>4</v>
      </c>
      <c r="S733" s="13" t="s">
        <v>0</v>
      </c>
    </row>
    <row r="734" spans="1:19" x14ac:dyDescent="0.25">
      <c r="A734" s="13">
        <v>999930384</v>
      </c>
      <c r="B734" s="27" t="s">
        <v>227</v>
      </c>
      <c r="C734" s="28">
        <v>2</v>
      </c>
      <c r="D734" s="13">
        <v>681202</v>
      </c>
      <c r="E734" s="13" t="s">
        <v>2</v>
      </c>
      <c r="F734" s="13">
        <v>100</v>
      </c>
      <c r="G734" s="13">
        <v>100</v>
      </c>
      <c r="H734" s="13"/>
      <c r="I734" s="13"/>
      <c r="J734" s="13"/>
      <c r="K734" s="13">
        <v>100</v>
      </c>
      <c r="L734" s="22" t="s">
        <v>21</v>
      </c>
      <c r="M734" s="13" t="s">
        <v>320</v>
      </c>
      <c r="N734" s="22" t="s">
        <v>64</v>
      </c>
      <c r="O734" s="14">
        <v>1</v>
      </c>
      <c r="P734" s="15">
        <f t="shared" si="11"/>
        <v>100</v>
      </c>
      <c r="Q734" s="16">
        <v>44067</v>
      </c>
      <c r="R734" s="17">
        <v>6</v>
      </c>
      <c r="S734" s="13" t="s">
        <v>0</v>
      </c>
    </row>
    <row r="735" spans="1:19" x14ac:dyDescent="0.25">
      <c r="A735" s="13">
        <v>999930385</v>
      </c>
      <c r="B735" s="27" t="s">
        <v>227</v>
      </c>
      <c r="C735" s="28">
        <v>2</v>
      </c>
      <c r="D735" s="13">
        <v>681202</v>
      </c>
      <c r="E735" s="13" t="s">
        <v>2</v>
      </c>
      <c r="F735" s="13">
        <v>100</v>
      </c>
      <c r="G735" s="13">
        <v>100</v>
      </c>
      <c r="H735" s="13"/>
      <c r="I735" s="13"/>
      <c r="J735" s="13"/>
      <c r="K735" s="13">
        <v>100</v>
      </c>
      <c r="L735" s="22" t="s">
        <v>21</v>
      </c>
      <c r="M735" s="13" t="s">
        <v>320</v>
      </c>
      <c r="N735" s="22" t="s">
        <v>64</v>
      </c>
      <c r="O735" s="14">
        <v>1</v>
      </c>
      <c r="P735" s="15">
        <f t="shared" si="11"/>
        <v>100</v>
      </c>
      <c r="Q735" s="16">
        <v>44074</v>
      </c>
      <c r="R735" s="17">
        <v>7</v>
      </c>
      <c r="S735" s="13" t="s">
        <v>0</v>
      </c>
    </row>
    <row r="736" spans="1:19" x14ac:dyDescent="0.25">
      <c r="A736" s="13">
        <v>999930386</v>
      </c>
      <c r="B736" s="27" t="s">
        <v>227</v>
      </c>
      <c r="C736" s="28">
        <v>2</v>
      </c>
      <c r="D736" s="13">
        <v>681202</v>
      </c>
      <c r="E736" s="13" t="s">
        <v>2</v>
      </c>
      <c r="F736" s="13">
        <v>100</v>
      </c>
      <c r="G736" s="13">
        <v>100</v>
      </c>
      <c r="H736" s="13"/>
      <c r="I736" s="13"/>
      <c r="J736" s="13"/>
      <c r="K736" s="13">
        <v>100</v>
      </c>
      <c r="L736" s="22" t="s">
        <v>21</v>
      </c>
      <c r="M736" s="13" t="s">
        <v>27</v>
      </c>
      <c r="N736" s="13">
        <f>IFERROR(VLOOKUP($A:$A,[1]KION_IND_E_COM_LT!$A:$T,18,0),"")</f>
        <v>0</v>
      </c>
      <c r="O736" s="14">
        <v>1</v>
      </c>
      <c r="P736" s="15">
        <f t="shared" si="11"/>
        <v>100</v>
      </c>
      <c r="Q736" s="16">
        <v>44074</v>
      </c>
      <c r="R736" s="17">
        <v>7</v>
      </c>
      <c r="S736" s="13" t="s">
        <v>0</v>
      </c>
    </row>
    <row r="737" spans="1:19" x14ac:dyDescent="0.25">
      <c r="A737" s="13">
        <v>999930387</v>
      </c>
      <c r="B737" s="27" t="s">
        <v>227</v>
      </c>
      <c r="C737" s="28">
        <v>2</v>
      </c>
      <c r="D737" s="13">
        <v>681202</v>
      </c>
      <c r="E737" s="13" t="s">
        <v>2</v>
      </c>
      <c r="F737" s="13">
        <v>100</v>
      </c>
      <c r="G737" s="13">
        <v>100</v>
      </c>
      <c r="H737" s="13"/>
      <c r="I737" s="13"/>
      <c r="J737" s="13"/>
      <c r="K737" s="13">
        <v>100</v>
      </c>
      <c r="L737" s="23"/>
      <c r="M737" s="13" t="s">
        <v>23</v>
      </c>
      <c r="N737" s="13" t="str">
        <f>IFERROR(VLOOKUP($A:$A,[1]KION_IND_E_COM_LT!$A:$T,18,0),"")</f>
        <v/>
      </c>
      <c r="O737" s="14">
        <v>1</v>
      </c>
      <c r="P737" s="15">
        <f t="shared" si="11"/>
        <v>100</v>
      </c>
      <c r="Q737" s="16">
        <v>44088</v>
      </c>
      <c r="R737" s="17">
        <v>9</v>
      </c>
      <c r="S737" s="13" t="s">
        <v>0</v>
      </c>
    </row>
    <row r="738" spans="1:19" x14ac:dyDescent="0.25">
      <c r="A738" s="13">
        <v>999930388</v>
      </c>
      <c r="B738" s="27" t="s">
        <v>227</v>
      </c>
      <c r="C738" s="28">
        <v>2</v>
      </c>
      <c r="D738" s="13">
        <v>681202</v>
      </c>
      <c r="E738" s="13" t="s">
        <v>2</v>
      </c>
      <c r="F738" s="13">
        <v>100</v>
      </c>
      <c r="G738" s="13">
        <v>100</v>
      </c>
      <c r="H738" s="13"/>
      <c r="I738" s="13"/>
      <c r="J738" s="13"/>
      <c r="K738" s="13">
        <v>100</v>
      </c>
      <c r="L738" s="23"/>
      <c r="M738" s="13" t="s">
        <v>23</v>
      </c>
      <c r="N738" s="13" t="str">
        <f>IFERROR(VLOOKUP($A:$A,[1]KION_IND_E_COM_LT!$A:$T,18,0),"")</f>
        <v/>
      </c>
      <c r="O738" s="14">
        <v>1</v>
      </c>
      <c r="P738" s="15">
        <f t="shared" si="11"/>
        <v>100</v>
      </c>
      <c r="Q738" s="16">
        <v>44088</v>
      </c>
      <c r="R738" s="17">
        <v>9</v>
      </c>
      <c r="S738" s="13" t="s">
        <v>0</v>
      </c>
    </row>
    <row r="739" spans="1:19" x14ac:dyDescent="0.25">
      <c r="A739" s="13">
        <v>999930488</v>
      </c>
      <c r="B739" s="27" t="s">
        <v>228</v>
      </c>
      <c r="C739" s="28">
        <v>0</v>
      </c>
      <c r="D739" s="13">
        <v>681202</v>
      </c>
      <c r="E739" s="13" t="s">
        <v>2</v>
      </c>
      <c r="F739" s="13">
        <v>100</v>
      </c>
      <c r="G739" s="13">
        <v>100</v>
      </c>
      <c r="H739" s="13"/>
      <c r="I739" s="13"/>
      <c r="J739" s="13">
        <v>100</v>
      </c>
      <c r="K739" s="13">
        <v>0</v>
      </c>
      <c r="L739" s="22" t="s">
        <v>21</v>
      </c>
      <c r="M739" s="13" t="s">
        <v>320</v>
      </c>
      <c r="N739" s="13">
        <f>IFERROR(VLOOKUP($A:$A,[1]KION_IND_E_COM_LT!$A:$T,18,0),"")</f>
        <v>0</v>
      </c>
      <c r="O739" s="14"/>
      <c r="P739" s="15">
        <f t="shared" si="11"/>
        <v>0</v>
      </c>
      <c r="Q739" s="16"/>
      <c r="R739" s="17">
        <v>7</v>
      </c>
      <c r="S739" s="13" t="s">
        <v>0</v>
      </c>
    </row>
    <row r="740" spans="1:19" x14ac:dyDescent="0.25">
      <c r="A740" s="13">
        <v>999930489</v>
      </c>
      <c r="B740" s="27" t="s">
        <v>228</v>
      </c>
      <c r="C740" s="28">
        <v>0</v>
      </c>
      <c r="D740" s="13">
        <v>681202</v>
      </c>
      <c r="E740" s="13" t="s">
        <v>2</v>
      </c>
      <c r="F740" s="13">
        <v>100</v>
      </c>
      <c r="G740" s="13">
        <v>100</v>
      </c>
      <c r="H740" s="13"/>
      <c r="I740" s="13"/>
      <c r="J740" s="13">
        <v>100</v>
      </c>
      <c r="K740" s="13">
        <v>0</v>
      </c>
      <c r="L740" s="22" t="s">
        <v>21</v>
      </c>
      <c r="M740" s="13" t="s">
        <v>320</v>
      </c>
      <c r="N740" s="13">
        <f>IFERROR(VLOOKUP($A:$A,[1]KION_IND_E_COM_LT!$A:$T,18,0),"")</f>
        <v>0</v>
      </c>
      <c r="O740" s="14"/>
      <c r="P740" s="15">
        <f t="shared" si="11"/>
        <v>0</v>
      </c>
      <c r="Q740" s="16"/>
      <c r="R740" s="17">
        <v>7</v>
      </c>
      <c r="S740" s="13" t="s">
        <v>0</v>
      </c>
    </row>
    <row r="741" spans="1:19" x14ac:dyDescent="0.25">
      <c r="A741" s="13">
        <v>999930490</v>
      </c>
      <c r="B741" s="27" t="s">
        <v>228</v>
      </c>
      <c r="C741" s="28">
        <v>0</v>
      </c>
      <c r="D741" s="13">
        <v>681202</v>
      </c>
      <c r="E741" s="13" t="s">
        <v>2</v>
      </c>
      <c r="F741" s="13">
        <v>100</v>
      </c>
      <c r="G741" s="13">
        <v>100</v>
      </c>
      <c r="H741" s="13"/>
      <c r="I741" s="13"/>
      <c r="J741" s="13">
        <v>100</v>
      </c>
      <c r="K741" s="13">
        <v>0</v>
      </c>
      <c r="L741" s="22" t="s">
        <v>21</v>
      </c>
      <c r="M741" s="13" t="s">
        <v>320</v>
      </c>
      <c r="N741" s="13">
        <f>IFERROR(VLOOKUP($A:$A,[1]KION_IND_E_COM_LT!$A:$T,18,0),"")</f>
        <v>0</v>
      </c>
      <c r="O741" s="14"/>
      <c r="P741" s="15">
        <f t="shared" si="11"/>
        <v>0</v>
      </c>
      <c r="Q741" s="16"/>
      <c r="R741" s="17">
        <v>7</v>
      </c>
      <c r="S741" s="13" t="s">
        <v>0</v>
      </c>
    </row>
    <row r="742" spans="1:19" x14ac:dyDescent="0.25">
      <c r="A742" s="13">
        <v>999930491</v>
      </c>
      <c r="B742" s="27" t="s">
        <v>228</v>
      </c>
      <c r="C742" s="28">
        <v>0</v>
      </c>
      <c r="D742" s="13">
        <v>681202</v>
      </c>
      <c r="E742" s="13" t="s">
        <v>2</v>
      </c>
      <c r="F742" s="13">
        <v>100</v>
      </c>
      <c r="G742" s="13">
        <v>100</v>
      </c>
      <c r="H742" s="13"/>
      <c r="I742" s="13">
        <v>100</v>
      </c>
      <c r="J742" s="13"/>
      <c r="K742" s="13">
        <v>0</v>
      </c>
      <c r="L742" s="22" t="s">
        <v>21</v>
      </c>
      <c r="M742" s="13" t="s">
        <v>27</v>
      </c>
      <c r="N742" s="13" t="str">
        <f>IFERROR(VLOOKUP($A:$A,[1]KION_IND_E_COM_LT!$A:$T,18,0),"")</f>
        <v>10/08 - A</v>
      </c>
      <c r="O742" s="14"/>
      <c r="P742" s="15">
        <f t="shared" si="11"/>
        <v>0</v>
      </c>
      <c r="Q742" s="16"/>
      <c r="R742" s="17">
        <v>7</v>
      </c>
      <c r="S742" s="13" t="s">
        <v>0</v>
      </c>
    </row>
    <row r="743" spans="1:19" x14ac:dyDescent="0.25">
      <c r="A743" s="13">
        <v>999930492</v>
      </c>
      <c r="B743" s="27" t="s">
        <v>228</v>
      </c>
      <c r="C743" s="28">
        <v>0</v>
      </c>
      <c r="D743" s="13">
        <v>681202</v>
      </c>
      <c r="E743" s="13" t="s">
        <v>2</v>
      </c>
      <c r="F743" s="13">
        <v>100</v>
      </c>
      <c r="G743" s="13">
        <v>100</v>
      </c>
      <c r="H743" s="13"/>
      <c r="I743" s="13">
        <v>100</v>
      </c>
      <c r="J743" s="13"/>
      <c r="K743" s="13">
        <v>0</v>
      </c>
      <c r="L743" s="22" t="s">
        <v>21</v>
      </c>
      <c r="M743" s="13" t="s">
        <v>27</v>
      </c>
      <c r="N743" s="13" t="str">
        <f>IFERROR(VLOOKUP($A:$A,[1]KION_IND_E_COM_LT!$A:$T,18,0),"")</f>
        <v>10/08 - A</v>
      </c>
      <c r="O743" s="14"/>
      <c r="P743" s="15">
        <f t="shared" si="11"/>
        <v>0</v>
      </c>
      <c r="Q743" s="16"/>
      <c r="R743" s="17">
        <v>7</v>
      </c>
      <c r="S743" s="13" t="s">
        <v>0</v>
      </c>
    </row>
    <row r="744" spans="1:19" x14ac:dyDescent="0.25">
      <c r="A744" s="13">
        <v>999930493</v>
      </c>
      <c r="B744" s="27" t="s">
        <v>228</v>
      </c>
      <c r="C744" s="28">
        <v>0</v>
      </c>
      <c r="D744" s="13">
        <v>681202</v>
      </c>
      <c r="E744" s="13" t="s">
        <v>2</v>
      </c>
      <c r="F744" s="13">
        <v>100</v>
      </c>
      <c r="G744" s="13">
        <v>100</v>
      </c>
      <c r="H744" s="13"/>
      <c r="I744" s="13"/>
      <c r="J744" s="13"/>
      <c r="K744" s="13">
        <v>100</v>
      </c>
      <c r="L744" s="22" t="s">
        <v>21</v>
      </c>
      <c r="M744" s="13" t="s">
        <v>320</v>
      </c>
      <c r="N744" s="13">
        <f>IFERROR(VLOOKUP($A:$A,[1]KION_IND_E_COM_LT!$A:$T,18,0),"")</f>
        <v>0</v>
      </c>
      <c r="O744" s="14">
        <v>1</v>
      </c>
      <c r="P744" s="15">
        <f t="shared" si="11"/>
        <v>100</v>
      </c>
      <c r="Q744" s="16">
        <v>44074</v>
      </c>
      <c r="R744" s="17">
        <v>7</v>
      </c>
      <c r="S744" s="13" t="s">
        <v>0</v>
      </c>
    </row>
    <row r="745" spans="1:19" x14ac:dyDescent="0.25">
      <c r="A745" s="13">
        <v>999930494</v>
      </c>
      <c r="B745" s="27" t="s">
        <v>228</v>
      </c>
      <c r="C745" s="28">
        <v>0</v>
      </c>
      <c r="D745" s="13">
        <v>681202</v>
      </c>
      <c r="E745" s="13" t="s">
        <v>2</v>
      </c>
      <c r="F745" s="13">
        <v>100</v>
      </c>
      <c r="G745" s="13">
        <v>100</v>
      </c>
      <c r="H745" s="13"/>
      <c r="I745" s="13"/>
      <c r="J745" s="13"/>
      <c r="K745" s="13">
        <v>100</v>
      </c>
      <c r="L745" s="22" t="s">
        <v>21</v>
      </c>
      <c r="M745" s="13" t="s">
        <v>320</v>
      </c>
      <c r="N745" s="13">
        <f>IFERROR(VLOOKUP($A:$A,[1]KION_IND_E_COM_LT!$A:$T,18,0),"")</f>
        <v>0</v>
      </c>
      <c r="O745" s="14">
        <v>1</v>
      </c>
      <c r="P745" s="15">
        <f t="shared" si="11"/>
        <v>100</v>
      </c>
      <c r="Q745" s="16">
        <v>44074</v>
      </c>
      <c r="R745" s="17">
        <v>7</v>
      </c>
      <c r="S745" s="13" t="s">
        <v>0</v>
      </c>
    </row>
    <row r="746" spans="1:19" x14ac:dyDescent="0.25">
      <c r="A746" s="13">
        <v>999930495</v>
      </c>
      <c r="B746" s="27" t="s">
        <v>228</v>
      </c>
      <c r="C746" s="28">
        <v>0</v>
      </c>
      <c r="D746" s="13">
        <v>681202</v>
      </c>
      <c r="E746" s="13" t="s">
        <v>2</v>
      </c>
      <c r="F746" s="13">
        <v>100</v>
      </c>
      <c r="G746" s="13">
        <v>100</v>
      </c>
      <c r="H746" s="13"/>
      <c r="I746" s="13"/>
      <c r="J746" s="13"/>
      <c r="K746" s="13">
        <v>100</v>
      </c>
      <c r="L746" s="22" t="s">
        <v>21</v>
      </c>
      <c r="M746" s="13" t="s">
        <v>320</v>
      </c>
      <c r="N746" s="13">
        <f>IFERROR(VLOOKUP($A:$A,[1]KION_IND_E_COM_LT!$A:$T,18,0),"")</f>
        <v>0</v>
      </c>
      <c r="O746" s="14">
        <v>1</v>
      </c>
      <c r="P746" s="15">
        <f t="shared" si="11"/>
        <v>100</v>
      </c>
      <c r="Q746" s="16">
        <v>44074</v>
      </c>
      <c r="R746" s="17">
        <v>7</v>
      </c>
      <c r="S746" s="13" t="s">
        <v>0</v>
      </c>
    </row>
    <row r="747" spans="1:19" x14ac:dyDescent="0.25">
      <c r="A747" s="13">
        <v>999930496</v>
      </c>
      <c r="B747" s="27" t="s">
        <v>228</v>
      </c>
      <c r="C747" s="28">
        <v>0</v>
      </c>
      <c r="D747" s="13">
        <v>681202</v>
      </c>
      <c r="E747" s="13" t="s">
        <v>2</v>
      </c>
      <c r="F747" s="13">
        <v>100</v>
      </c>
      <c r="G747" s="13">
        <v>100</v>
      </c>
      <c r="H747" s="13"/>
      <c r="I747" s="13"/>
      <c r="J747" s="13"/>
      <c r="K747" s="13">
        <v>100</v>
      </c>
      <c r="L747" s="22" t="s">
        <v>21</v>
      </c>
      <c r="M747" s="13" t="s">
        <v>27</v>
      </c>
      <c r="N747" s="13">
        <f>IFERROR(VLOOKUP($A:$A,[1]KION_IND_E_COM_LT!$A:$T,18,0),"")</f>
        <v>0</v>
      </c>
      <c r="O747" s="14">
        <v>1</v>
      </c>
      <c r="P747" s="15">
        <f t="shared" si="11"/>
        <v>100</v>
      </c>
      <c r="Q747" s="16">
        <v>44081</v>
      </c>
      <c r="R747" s="17">
        <v>8</v>
      </c>
      <c r="S747" s="13" t="s">
        <v>0</v>
      </c>
    </row>
    <row r="748" spans="1:19" x14ac:dyDescent="0.25">
      <c r="A748" s="13">
        <v>999930497</v>
      </c>
      <c r="B748" s="27" t="s">
        <v>228</v>
      </c>
      <c r="C748" s="28">
        <v>0</v>
      </c>
      <c r="D748" s="13">
        <v>681202</v>
      </c>
      <c r="E748" s="13" t="s">
        <v>2</v>
      </c>
      <c r="F748" s="13">
        <v>100</v>
      </c>
      <c r="G748" s="13">
        <v>100</v>
      </c>
      <c r="H748" s="13"/>
      <c r="I748" s="13"/>
      <c r="J748" s="13"/>
      <c r="K748" s="13">
        <v>100</v>
      </c>
      <c r="L748" s="22" t="s">
        <v>21</v>
      </c>
      <c r="M748" s="13" t="s">
        <v>27</v>
      </c>
      <c r="N748" s="13">
        <f>IFERROR(VLOOKUP($A:$A,[1]KION_IND_E_COM_LT!$A:$T,18,0),"")</f>
        <v>0</v>
      </c>
      <c r="O748" s="14">
        <v>1</v>
      </c>
      <c r="P748" s="15">
        <f t="shared" si="11"/>
        <v>100</v>
      </c>
      <c r="Q748" s="16">
        <v>44081</v>
      </c>
      <c r="R748" s="17">
        <v>8</v>
      </c>
      <c r="S748" s="13" t="s">
        <v>0</v>
      </c>
    </row>
    <row r="749" spans="1:19" x14ac:dyDescent="0.25">
      <c r="A749" s="13">
        <v>999930498</v>
      </c>
      <c r="B749" s="27" t="s">
        <v>228</v>
      </c>
      <c r="C749" s="28">
        <v>0</v>
      </c>
      <c r="D749" s="13">
        <v>681202</v>
      </c>
      <c r="E749" s="13" t="s">
        <v>2</v>
      </c>
      <c r="F749" s="13">
        <v>100</v>
      </c>
      <c r="G749" s="13">
        <v>100</v>
      </c>
      <c r="H749" s="13"/>
      <c r="I749" s="13"/>
      <c r="J749" s="13"/>
      <c r="K749" s="13">
        <v>100</v>
      </c>
      <c r="L749" s="23"/>
      <c r="M749" s="13" t="s">
        <v>23</v>
      </c>
      <c r="N749" s="13" t="str">
        <f>IFERROR(VLOOKUP($A:$A,[1]KION_IND_E_COM_LT!$A:$T,18,0),"")</f>
        <v/>
      </c>
      <c r="O749" s="14">
        <v>1</v>
      </c>
      <c r="P749" s="15">
        <f t="shared" si="11"/>
        <v>100</v>
      </c>
      <c r="Q749" s="16">
        <v>44088</v>
      </c>
      <c r="R749" s="17">
        <v>9</v>
      </c>
      <c r="S749" s="13" t="s">
        <v>0</v>
      </c>
    </row>
    <row r="750" spans="1:19" x14ac:dyDescent="0.25">
      <c r="A750" s="13">
        <v>999930499</v>
      </c>
      <c r="B750" s="27" t="s">
        <v>228</v>
      </c>
      <c r="C750" s="28">
        <v>0</v>
      </c>
      <c r="D750" s="13">
        <v>681202</v>
      </c>
      <c r="E750" s="13" t="s">
        <v>2</v>
      </c>
      <c r="F750" s="13">
        <v>100</v>
      </c>
      <c r="G750" s="13">
        <v>100</v>
      </c>
      <c r="H750" s="13"/>
      <c r="I750" s="13"/>
      <c r="J750" s="13"/>
      <c r="K750" s="13">
        <v>100</v>
      </c>
      <c r="L750" s="23"/>
      <c r="M750" s="13" t="s">
        <v>23</v>
      </c>
      <c r="N750" s="13" t="str">
        <f>IFERROR(VLOOKUP($A:$A,[1]KION_IND_E_COM_LT!$A:$T,18,0),"")</f>
        <v/>
      </c>
      <c r="O750" s="14">
        <v>1</v>
      </c>
      <c r="P750" s="15">
        <f t="shared" si="11"/>
        <v>100</v>
      </c>
      <c r="Q750" s="16">
        <v>44088</v>
      </c>
      <c r="R750" s="17">
        <v>9</v>
      </c>
      <c r="S750" s="13" t="s">
        <v>0</v>
      </c>
    </row>
    <row r="751" spans="1:19" x14ac:dyDescent="0.25">
      <c r="A751" s="13">
        <v>999930760</v>
      </c>
      <c r="B751" s="27" t="s">
        <v>238</v>
      </c>
      <c r="C751" s="28">
        <v>3</v>
      </c>
      <c r="D751" s="13">
        <v>681202</v>
      </c>
      <c r="E751" s="13" t="s">
        <v>2</v>
      </c>
      <c r="F751" s="13">
        <v>100</v>
      </c>
      <c r="G751" s="13">
        <v>100</v>
      </c>
      <c r="H751" s="13"/>
      <c r="I751" s="13"/>
      <c r="J751" s="13">
        <v>100</v>
      </c>
      <c r="K751" s="13">
        <v>0</v>
      </c>
      <c r="L751" s="22" t="s">
        <v>21</v>
      </c>
      <c r="M751" s="13" t="s">
        <v>320</v>
      </c>
      <c r="N751" s="13">
        <f>IFERROR(VLOOKUP($A:$A,[1]KION_IND_E_COM_LT!$A:$T,18,0),"")</f>
        <v>0</v>
      </c>
      <c r="O751" s="14"/>
      <c r="P751" s="15">
        <f t="shared" si="11"/>
        <v>0</v>
      </c>
      <c r="Q751" s="16"/>
      <c r="R751" s="17">
        <v>6</v>
      </c>
      <c r="S751" s="13" t="s">
        <v>0</v>
      </c>
    </row>
    <row r="752" spans="1:19" x14ac:dyDescent="0.25">
      <c r="A752" s="13">
        <v>999930761</v>
      </c>
      <c r="B752" s="27" t="s">
        <v>238</v>
      </c>
      <c r="C752" s="28">
        <v>3</v>
      </c>
      <c r="D752" s="13">
        <v>681202</v>
      </c>
      <c r="E752" s="13" t="s">
        <v>2</v>
      </c>
      <c r="F752" s="13">
        <v>100</v>
      </c>
      <c r="G752" s="13">
        <v>100</v>
      </c>
      <c r="H752" s="13"/>
      <c r="I752" s="13"/>
      <c r="J752" s="13">
        <v>100</v>
      </c>
      <c r="K752" s="13">
        <v>0</v>
      </c>
      <c r="L752" s="22" t="s">
        <v>21</v>
      </c>
      <c r="M752" s="13" t="s">
        <v>320</v>
      </c>
      <c r="N752" s="13">
        <f>IFERROR(VLOOKUP($A:$A,[1]KION_IND_E_COM_LT!$A:$T,18,0),"")</f>
        <v>0</v>
      </c>
      <c r="O752" s="14"/>
      <c r="P752" s="15">
        <f t="shared" si="11"/>
        <v>0</v>
      </c>
      <c r="Q752" s="16"/>
      <c r="R752" s="17">
        <v>6</v>
      </c>
      <c r="S752" s="13" t="s">
        <v>0</v>
      </c>
    </row>
    <row r="753" spans="1:19" x14ac:dyDescent="0.25">
      <c r="A753" s="13">
        <v>999930762</v>
      </c>
      <c r="B753" s="27" t="s">
        <v>238</v>
      </c>
      <c r="C753" s="28">
        <v>3</v>
      </c>
      <c r="D753" s="13">
        <v>681202</v>
      </c>
      <c r="E753" s="13" t="s">
        <v>2</v>
      </c>
      <c r="F753" s="13">
        <v>100</v>
      </c>
      <c r="G753" s="13">
        <v>100</v>
      </c>
      <c r="H753" s="13"/>
      <c r="I753" s="13"/>
      <c r="J753" s="13">
        <v>100</v>
      </c>
      <c r="K753" s="13">
        <v>0</v>
      </c>
      <c r="L753" s="22" t="s">
        <v>21</v>
      </c>
      <c r="M753" s="13" t="s">
        <v>320</v>
      </c>
      <c r="N753" s="13">
        <f>IFERROR(VLOOKUP($A:$A,[1]KION_IND_E_COM_LT!$A:$T,18,0),"")</f>
        <v>0</v>
      </c>
      <c r="O753" s="14"/>
      <c r="P753" s="15">
        <f t="shared" si="11"/>
        <v>0</v>
      </c>
      <c r="Q753" s="16"/>
      <c r="R753" s="17">
        <v>6</v>
      </c>
      <c r="S753" s="13" t="s">
        <v>0</v>
      </c>
    </row>
    <row r="754" spans="1:19" x14ac:dyDescent="0.25">
      <c r="A754" s="13">
        <v>999930763</v>
      </c>
      <c r="B754" s="27" t="s">
        <v>238</v>
      </c>
      <c r="C754" s="28">
        <v>3</v>
      </c>
      <c r="D754" s="13">
        <v>681202</v>
      </c>
      <c r="E754" s="13" t="s">
        <v>2</v>
      </c>
      <c r="F754" s="13">
        <v>100</v>
      </c>
      <c r="G754" s="13">
        <v>100</v>
      </c>
      <c r="H754" s="13"/>
      <c r="I754" s="13"/>
      <c r="J754" s="13"/>
      <c r="K754" s="13">
        <v>100</v>
      </c>
      <c r="L754" s="22" t="s">
        <v>21</v>
      </c>
      <c r="M754" s="26" t="s">
        <v>27</v>
      </c>
      <c r="N754" s="13">
        <f>IFERROR(VLOOKUP($A:$A,[1]KION_IND_E_COM_LT!$A:$T,18,0),"")</f>
        <v>0</v>
      </c>
      <c r="O754" s="14">
        <v>1</v>
      </c>
      <c r="P754" s="15">
        <f t="shared" si="11"/>
        <v>100</v>
      </c>
      <c r="Q754" s="16">
        <v>44067</v>
      </c>
      <c r="R754" s="17">
        <v>6</v>
      </c>
      <c r="S754" s="13" t="s">
        <v>0</v>
      </c>
    </row>
    <row r="755" spans="1:19" x14ac:dyDescent="0.25">
      <c r="A755" s="13">
        <v>999930764</v>
      </c>
      <c r="B755" s="27" t="s">
        <v>238</v>
      </c>
      <c r="C755" s="28">
        <v>3</v>
      </c>
      <c r="D755" s="13">
        <v>681202</v>
      </c>
      <c r="E755" s="13" t="s">
        <v>2</v>
      </c>
      <c r="F755" s="13">
        <v>100</v>
      </c>
      <c r="G755" s="13">
        <v>100</v>
      </c>
      <c r="H755" s="13"/>
      <c r="I755" s="13"/>
      <c r="J755" s="13"/>
      <c r="K755" s="13">
        <v>100</v>
      </c>
      <c r="L755" s="22" t="s">
        <v>21</v>
      </c>
      <c r="M755" s="13" t="s">
        <v>27</v>
      </c>
      <c r="N755" s="13">
        <f>IFERROR(VLOOKUP($A:$A,[1]KION_IND_E_COM_LT!$A:$T,18,0),"")</f>
        <v>0</v>
      </c>
      <c r="O755" s="14">
        <v>1</v>
      </c>
      <c r="P755" s="15">
        <f t="shared" si="11"/>
        <v>100</v>
      </c>
      <c r="Q755" s="16">
        <v>44074</v>
      </c>
      <c r="R755" s="17">
        <v>7</v>
      </c>
      <c r="S755" s="13" t="s">
        <v>0</v>
      </c>
    </row>
    <row r="756" spans="1:19" x14ac:dyDescent="0.25">
      <c r="A756" s="13">
        <v>999930765</v>
      </c>
      <c r="B756" s="27" t="s">
        <v>238</v>
      </c>
      <c r="C756" s="28">
        <v>3</v>
      </c>
      <c r="D756" s="13">
        <v>681202</v>
      </c>
      <c r="E756" s="13" t="s">
        <v>2</v>
      </c>
      <c r="F756" s="13">
        <v>100</v>
      </c>
      <c r="G756" s="13">
        <v>100</v>
      </c>
      <c r="H756" s="13"/>
      <c r="I756" s="13"/>
      <c r="J756" s="13"/>
      <c r="K756" s="13">
        <v>100</v>
      </c>
      <c r="L756" s="22" t="s">
        <v>21</v>
      </c>
      <c r="M756" s="13" t="s">
        <v>27</v>
      </c>
      <c r="N756" s="13">
        <f>IFERROR(VLOOKUP($A:$A,[1]KION_IND_E_COM_LT!$A:$T,18,0),"")</f>
        <v>0</v>
      </c>
      <c r="O756" s="14">
        <v>1</v>
      </c>
      <c r="P756" s="15">
        <f t="shared" si="11"/>
        <v>100</v>
      </c>
      <c r="Q756" s="16">
        <v>44081</v>
      </c>
      <c r="R756" s="17">
        <v>8</v>
      </c>
      <c r="S756" s="13" t="s">
        <v>0</v>
      </c>
    </row>
    <row r="757" spans="1:19" x14ac:dyDescent="0.25">
      <c r="A757" s="13">
        <v>999930766</v>
      </c>
      <c r="B757" s="27" t="s">
        <v>238</v>
      </c>
      <c r="C757" s="28">
        <v>3</v>
      </c>
      <c r="D757" s="13">
        <v>681202</v>
      </c>
      <c r="E757" s="13" t="s">
        <v>2</v>
      </c>
      <c r="F757" s="13">
        <v>100</v>
      </c>
      <c r="G757" s="13">
        <v>100</v>
      </c>
      <c r="H757" s="13"/>
      <c r="I757" s="13"/>
      <c r="J757" s="13"/>
      <c r="K757" s="13">
        <v>100</v>
      </c>
      <c r="L757" s="22" t="s">
        <v>21</v>
      </c>
      <c r="M757" s="13" t="s">
        <v>27</v>
      </c>
      <c r="N757" s="13">
        <f>IFERROR(VLOOKUP($A:$A,[1]KION_IND_E_COM_LT!$A:$T,18,0),"")</f>
        <v>0</v>
      </c>
      <c r="O757" s="14">
        <v>1</v>
      </c>
      <c r="P757" s="15">
        <f t="shared" si="11"/>
        <v>100</v>
      </c>
      <c r="Q757" s="16">
        <v>44095</v>
      </c>
      <c r="R757" s="17">
        <v>10</v>
      </c>
      <c r="S757" s="13" t="s">
        <v>0</v>
      </c>
    </row>
    <row r="758" spans="1:19" x14ac:dyDescent="0.25">
      <c r="A758" s="13">
        <v>999930962</v>
      </c>
      <c r="B758" s="27" t="s">
        <v>240</v>
      </c>
      <c r="C758" s="28">
        <v>0</v>
      </c>
      <c r="D758" s="13">
        <v>681202</v>
      </c>
      <c r="E758" s="13" t="s">
        <v>2</v>
      </c>
      <c r="F758" s="13">
        <v>100</v>
      </c>
      <c r="G758" s="13">
        <v>100</v>
      </c>
      <c r="H758" s="13"/>
      <c r="I758" s="13"/>
      <c r="J758" s="13">
        <v>100</v>
      </c>
      <c r="K758" s="13">
        <v>0</v>
      </c>
      <c r="L758" s="22" t="s">
        <v>21</v>
      </c>
      <c r="M758" s="13" t="s">
        <v>37</v>
      </c>
      <c r="N758" s="13">
        <f>IFERROR(VLOOKUP($A:$A,[1]KION_IND_E_COM_LT!$A:$T,18,0),"")</f>
        <v>0</v>
      </c>
      <c r="O758" s="14"/>
      <c r="P758" s="15">
        <f t="shared" si="11"/>
        <v>0</v>
      </c>
      <c r="Q758" s="16"/>
      <c r="R758" s="17">
        <v>4</v>
      </c>
      <c r="S758" s="13" t="s">
        <v>0</v>
      </c>
    </row>
    <row r="759" spans="1:19" x14ac:dyDescent="0.25">
      <c r="A759" s="13">
        <v>999930963</v>
      </c>
      <c r="B759" s="27" t="s">
        <v>240</v>
      </c>
      <c r="C759" s="28">
        <v>0</v>
      </c>
      <c r="D759" s="13">
        <v>681202</v>
      </c>
      <c r="E759" s="13" t="s">
        <v>2</v>
      </c>
      <c r="F759" s="13">
        <v>100</v>
      </c>
      <c r="G759" s="13">
        <v>100</v>
      </c>
      <c r="H759" s="13"/>
      <c r="I759" s="13"/>
      <c r="J759" s="13"/>
      <c r="K759" s="13">
        <v>100</v>
      </c>
      <c r="L759" s="22" t="s">
        <v>21</v>
      </c>
      <c r="M759" s="13" t="s">
        <v>320</v>
      </c>
      <c r="N759" s="13">
        <f>IFERROR(VLOOKUP($A:$A,[1]KION_IND_E_COM_LT!$A:$T,18,0),"")</f>
        <v>0</v>
      </c>
      <c r="O759" s="14">
        <v>1</v>
      </c>
      <c r="P759" s="15">
        <f t="shared" si="11"/>
        <v>100</v>
      </c>
      <c r="Q759" s="16">
        <v>44053</v>
      </c>
      <c r="R759" s="17">
        <v>4</v>
      </c>
      <c r="S759" s="13" t="s">
        <v>0</v>
      </c>
    </row>
    <row r="760" spans="1:19" x14ac:dyDescent="0.25">
      <c r="A760" s="13">
        <v>999930964</v>
      </c>
      <c r="B760" s="27" t="s">
        <v>240</v>
      </c>
      <c r="C760" s="28">
        <v>0</v>
      </c>
      <c r="D760" s="13">
        <v>681202</v>
      </c>
      <c r="E760" s="13" t="s">
        <v>2</v>
      </c>
      <c r="F760" s="13">
        <v>100</v>
      </c>
      <c r="G760" s="13">
        <v>100</v>
      </c>
      <c r="H760" s="13"/>
      <c r="I760" s="13"/>
      <c r="J760" s="13"/>
      <c r="K760" s="13">
        <v>100</v>
      </c>
      <c r="L760" s="22" t="s">
        <v>21</v>
      </c>
      <c r="M760" s="13" t="s">
        <v>320</v>
      </c>
      <c r="N760" s="13">
        <f>IFERROR(VLOOKUP($A:$A,[1]KION_IND_E_COM_LT!$A:$T,18,0),"")</f>
        <v>0</v>
      </c>
      <c r="O760" s="14">
        <v>1</v>
      </c>
      <c r="P760" s="15">
        <f t="shared" si="11"/>
        <v>100</v>
      </c>
      <c r="Q760" s="16">
        <v>44067</v>
      </c>
      <c r="R760" s="17">
        <v>6</v>
      </c>
      <c r="S760" s="13" t="s">
        <v>0</v>
      </c>
    </row>
    <row r="761" spans="1:19" x14ac:dyDescent="0.25">
      <c r="A761" s="13">
        <v>999930965</v>
      </c>
      <c r="B761" s="27" t="s">
        <v>240</v>
      </c>
      <c r="C761" s="28">
        <v>0</v>
      </c>
      <c r="D761" s="13">
        <v>681202</v>
      </c>
      <c r="E761" s="13" t="s">
        <v>2</v>
      </c>
      <c r="F761" s="13">
        <v>100</v>
      </c>
      <c r="G761" s="13">
        <v>100</v>
      </c>
      <c r="H761" s="13"/>
      <c r="I761" s="13"/>
      <c r="J761" s="13"/>
      <c r="K761" s="13">
        <v>100</v>
      </c>
      <c r="L761" s="22" t="s">
        <v>21</v>
      </c>
      <c r="M761" s="13" t="s">
        <v>320</v>
      </c>
      <c r="N761" s="13">
        <f>IFERROR(VLOOKUP($A:$A,[1]KION_IND_E_COM_LT!$A:$T,18,0),"")</f>
        <v>0</v>
      </c>
      <c r="O761" s="14">
        <v>1</v>
      </c>
      <c r="P761" s="15">
        <f t="shared" si="11"/>
        <v>100</v>
      </c>
      <c r="Q761" s="16">
        <v>44074</v>
      </c>
      <c r="R761" s="17">
        <v>7</v>
      </c>
      <c r="S761" s="13" t="s">
        <v>0</v>
      </c>
    </row>
    <row r="762" spans="1:19" x14ac:dyDescent="0.25">
      <c r="A762" s="13">
        <v>999930966</v>
      </c>
      <c r="B762" s="27" t="s">
        <v>240</v>
      </c>
      <c r="C762" s="28">
        <v>0</v>
      </c>
      <c r="D762" s="13">
        <v>681202</v>
      </c>
      <c r="E762" s="13" t="s">
        <v>2</v>
      </c>
      <c r="F762" s="13">
        <v>100</v>
      </c>
      <c r="G762" s="13">
        <v>100</v>
      </c>
      <c r="H762" s="13"/>
      <c r="I762" s="13"/>
      <c r="J762" s="13"/>
      <c r="K762" s="13">
        <v>100</v>
      </c>
      <c r="L762" s="22" t="s">
        <v>21</v>
      </c>
      <c r="M762" s="13" t="s">
        <v>320</v>
      </c>
      <c r="N762" s="13">
        <f>IFERROR(VLOOKUP($A:$A,[1]KION_IND_E_COM_LT!$A:$T,18,0),"")</f>
        <v>0</v>
      </c>
      <c r="O762" s="14">
        <v>1</v>
      </c>
      <c r="P762" s="15">
        <f t="shared" si="11"/>
        <v>100</v>
      </c>
      <c r="Q762" s="16">
        <v>44081</v>
      </c>
      <c r="R762" s="17">
        <v>8</v>
      </c>
      <c r="S762" s="13" t="s">
        <v>0</v>
      </c>
    </row>
    <row r="763" spans="1:19" x14ac:dyDescent="0.25">
      <c r="A763" s="13">
        <v>999931062</v>
      </c>
      <c r="B763" s="27" t="s">
        <v>243</v>
      </c>
      <c r="C763" s="28">
        <v>0</v>
      </c>
      <c r="D763" s="13">
        <v>681202</v>
      </c>
      <c r="E763" s="13" t="s">
        <v>2</v>
      </c>
      <c r="F763" s="13">
        <v>100</v>
      </c>
      <c r="G763" s="13">
        <v>100</v>
      </c>
      <c r="H763" s="13"/>
      <c r="I763" s="13"/>
      <c r="J763" s="13">
        <v>100</v>
      </c>
      <c r="K763" s="13">
        <v>0</v>
      </c>
      <c r="L763" s="22" t="s">
        <v>21</v>
      </c>
      <c r="M763" s="13" t="s">
        <v>37</v>
      </c>
      <c r="N763" s="13">
        <f>IFERROR(VLOOKUP($A:$A,[1]KION_IND_E_COM_LT!$A:$T,18,0),"")</f>
        <v>0</v>
      </c>
      <c r="O763" s="14"/>
      <c r="P763" s="15">
        <f t="shared" si="11"/>
        <v>0</v>
      </c>
      <c r="Q763" s="16"/>
      <c r="R763" s="17">
        <v>4</v>
      </c>
      <c r="S763" s="13" t="s">
        <v>0</v>
      </c>
    </row>
    <row r="764" spans="1:19" x14ac:dyDescent="0.25">
      <c r="A764" s="13">
        <v>999931064</v>
      </c>
      <c r="B764" s="27" t="s">
        <v>243</v>
      </c>
      <c r="C764" s="28">
        <v>0</v>
      </c>
      <c r="D764" s="13">
        <v>681202</v>
      </c>
      <c r="E764" s="13" t="s">
        <v>2</v>
      </c>
      <c r="F764" s="13">
        <v>100</v>
      </c>
      <c r="G764" s="13">
        <v>100</v>
      </c>
      <c r="H764" s="13"/>
      <c r="I764" s="13"/>
      <c r="J764" s="13"/>
      <c r="K764" s="13">
        <v>100</v>
      </c>
      <c r="L764" s="22" t="s">
        <v>21</v>
      </c>
      <c r="M764" s="13" t="s">
        <v>26</v>
      </c>
      <c r="N764" s="13">
        <f>IFERROR(VLOOKUP($A:$A,[1]KION_IND_E_COM_LT!$A:$T,18,0),"")</f>
        <v>0</v>
      </c>
      <c r="O764" s="14">
        <v>1</v>
      </c>
      <c r="P764" s="15">
        <f t="shared" si="11"/>
        <v>100</v>
      </c>
      <c r="Q764" s="16">
        <v>44053</v>
      </c>
      <c r="R764" s="17">
        <v>4</v>
      </c>
      <c r="S764" s="13" t="s">
        <v>0</v>
      </c>
    </row>
    <row r="765" spans="1:19" x14ac:dyDescent="0.25">
      <c r="A765" s="13">
        <v>999931065</v>
      </c>
      <c r="B765" s="27" t="s">
        <v>243</v>
      </c>
      <c r="C765" s="28">
        <v>0</v>
      </c>
      <c r="D765" s="13">
        <v>681202</v>
      </c>
      <c r="E765" s="13" t="s">
        <v>2</v>
      </c>
      <c r="F765" s="13">
        <v>100</v>
      </c>
      <c r="G765" s="13">
        <v>100</v>
      </c>
      <c r="H765" s="13"/>
      <c r="I765" s="13"/>
      <c r="J765" s="13"/>
      <c r="K765" s="13">
        <v>100</v>
      </c>
      <c r="L765" s="22" t="s">
        <v>21</v>
      </c>
      <c r="M765" s="26" t="s">
        <v>27</v>
      </c>
      <c r="N765" s="13">
        <f>IFERROR(VLOOKUP($A:$A,[1]KION_IND_E_COM_LT!$A:$T,18,0),"")</f>
        <v>0</v>
      </c>
      <c r="O765" s="14">
        <v>1</v>
      </c>
      <c r="P765" s="15">
        <f t="shared" si="11"/>
        <v>100</v>
      </c>
      <c r="Q765" s="16">
        <v>44067</v>
      </c>
      <c r="R765" s="17">
        <v>6</v>
      </c>
      <c r="S765" s="13" t="s">
        <v>0</v>
      </c>
    </row>
    <row r="766" spans="1:19" x14ac:dyDescent="0.25">
      <c r="A766" s="13">
        <v>999931066</v>
      </c>
      <c r="B766" s="27" t="s">
        <v>243</v>
      </c>
      <c r="C766" s="28">
        <v>0</v>
      </c>
      <c r="D766" s="13">
        <v>681202</v>
      </c>
      <c r="E766" s="13" t="s">
        <v>2</v>
      </c>
      <c r="F766" s="13">
        <v>100</v>
      </c>
      <c r="G766" s="13">
        <v>100</v>
      </c>
      <c r="H766" s="13"/>
      <c r="I766" s="13"/>
      <c r="J766" s="13"/>
      <c r="K766" s="13">
        <v>100</v>
      </c>
      <c r="L766" s="22" t="s">
        <v>21</v>
      </c>
      <c r="M766" s="13" t="s">
        <v>27</v>
      </c>
      <c r="N766" s="13">
        <f>IFERROR(VLOOKUP($A:$A,[1]KION_IND_E_COM_LT!$A:$T,18,0),"")</f>
        <v>0</v>
      </c>
      <c r="O766" s="14">
        <v>1</v>
      </c>
      <c r="P766" s="15">
        <f t="shared" si="11"/>
        <v>100</v>
      </c>
      <c r="Q766" s="16">
        <v>44074</v>
      </c>
      <c r="R766" s="17">
        <v>7</v>
      </c>
      <c r="S766" s="13" t="s">
        <v>0</v>
      </c>
    </row>
    <row r="767" spans="1:19" x14ac:dyDescent="0.25">
      <c r="A767" s="13">
        <v>999931067</v>
      </c>
      <c r="B767" s="27" t="s">
        <v>243</v>
      </c>
      <c r="C767" s="28">
        <v>0</v>
      </c>
      <c r="D767" s="13">
        <v>681202</v>
      </c>
      <c r="E767" s="13" t="s">
        <v>2</v>
      </c>
      <c r="F767" s="13">
        <v>100</v>
      </c>
      <c r="G767" s="13">
        <v>100</v>
      </c>
      <c r="H767" s="13"/>
      <c r="I767" s="13"/>
      <c r="J767" s="13"/>
      <c r="K767" s="13">
        <v>100</v>
      </c>
      <c r="L767" s="22" t="s">
        <v>21</v>
      </c>
      <c r="M767" s="13" t="s">
        <v>27</v>
      </c>
      <c r="N767" s="13">
        <f>IFERROR(VLOOKUP($A:$A,[1]KION_IND_E_COM_LT!$A:$T,18,0),"")</f>
        <v>0</v>
      </c>
      <c r="O767" s="14">
        <v>1</v>
      </c>
      <c r="P767" s="15">
        <f t="shared" si="11"/>
        <v>100</v>
      </c>
      <c r="Q767" s="16">
        <v>44081</v>
      </c>
      <c r="R767" s="17">
        <v>8</v>
      </c>
      <c r="S767" s="13" t="s">
        <v>0</v>
      </c>
    </row>
    <row r="768" spans="1:19" x14ac:dyDescent="0.25">
      <c r="A768" s="13">
        <v>999931162</v>
      </c>
      <c r="B768" s="27" t="s">
        <v>245</v>
      </c>
      <c r="C768" s="28">
        <v>0</v>
      </c>
      <c r="D768" s="13">
        <v>681202</v>
      </c>
      <c r="E768" s="13" t="s">
        <v>2</v>
      </c>
      <c r="F768" s="13">
        <v>100</v>
      </c>
      <c r="G768" s="13">
        <v>100</v>
      </c>
      <c r="H768" s="13"/>
      <c r="I768" s="13"/>
      <c r="J768" s="13">
        <v>100</v>
      </c>
      <c r="K768" s="13">
        <v>0</v>
      </c>
      <c r="L768" s="22" t="s">
        <v>21</v>
      </c>
      <c r="M768" s="13" t="s">
        <v>320</v>
      </c>
      <c r="N768" s="13">
        <f>IFERROR(VLOOKUP($A:$A,[1]KION_IND_E_COM_LT!$A:$T,18,0),"")</f>
        <v>0</v>
      </c>
      <c r="O768" s="14"/>
      <c r="P768" s="15">
        <f t="shared" si="11"/>
        <v>0</v>
      </c>
      <c r="Q768" s="16"/>
      <c r="R768" s="17">
        <v>6</v>
      </c>
      <c r="S768" s="13" t="s">
        <v>0</v>
      </c>
    </row>
    <row r="769" spans="1:19" x14ac:dyDescent="0.25">
      <c r="A769" s="13">
        <v>999931163</v>
      </c>
      <c r="B769" s="27" t="s">
        <v>245</v>
      </c>
      <c r="C769" s="28">
        <v>0</v>
      </c>
      <c r="D769" s="13">
        <v>681202</v>
      </c>
      <c r="E769" s="13" t="s">
        <v>2</v>
      </c>
      <c r="F769" s="13">
        <v>100</v>
      </c>
      <c r="G769" s="13">
        <v>100</v>
      </c>
      <c r="H769" s="13"/>
      <c r="I769" s="13"/>
      <c r="J769" s="13">
        <v>100</v>
      </c>
      <c r="K769" s="13">
        <v>0</v>
      </c>
      <c r="L769" s="22" t="s">
        <v>21</v>
      </c>
      <c r="M769" s="13" t="s">
        <v>320</v>
      </c>
      <c r="N769" s="13">
        <f>IFERROR(VLOOKUP($A:$A,[1]KION_IND_E_COM_LT!$A:$T,18,0),"")</f>
        <v>0</v>
      </c>
      <c r="O769" s="14"/>
      <c r="P769" s="15">
        <f t="shared" si="11"/>
        <v>0</v>
      </c>
      <c r="Q769" s="16"/>
      <c r="R769" s="17">
        <v>6</v>
      </c>
      <c r="S769" s="13" t="s">
        <v>0</v>
      </c>
    </row>
    <row r="770" spans="1:19" x14ac:dyDescent="0.25">
      <c r="A770" s="13">
        <v>999931165</v>
      </c>
      <c r="B770" s="27" t="s">
        <v>245</v>
      </c>
      <c r="C770" s="28">
        <v>0</v>
      </c>
      <c r="D770" s="13">
        <v>681202</v>
      </c>
      <c r="E770" s="13" t="s">
        <v>2</v>
      </c>
      <c r="F770" s="13">
        <v>100</v>
      </c>
      <c r="G770" s="13">
        <v>100</v>
      </c>
      <c r="H770" s="13"/>
      <c r="I770" s="13"/>
      <c r="J770" s="13"/>
      <c r="K770" s="13">
        <v>100</v>
      </c>
      <c r="L770" s="22" t="s">
        <v>21</v>
      </c>
      <c r="M770" s="13" t="s">
        <v>38</v>
      </c>
      <c r="N770" s="13" t="str">
        <f>IFERROR(VLOOKUP($A:$A,[1]KION_IND_E_COM_LT!$A:$T,18,0),"")</f>
        <v>10/08 - A</v>
      </c>
      <c r="O770" s="14">
        <v>1</v>
      </c>
      <c r="P770" s="15">
        <f t="shared" si="11"/>
        <v>100</v>
      </c>
      <c r="Q770" s="16">
        <v>44067</v>
      </c>
      <c r="R770" s="17">
        <v>6</v>
      </c>
      <c r="S770" s="13" t="s">
        <v>0</v>
      </c>
    </row>
    <row r="771" spans="1:19" x14ac:dyDescent="0.25">
      <c r="A771" s="13">
        <v>999931166</v>
      </c>
      <c r="B771" s="27" t="s">
        <v>245</v>
      </c>
      <c r="C771" s="28">
        <v>0</v>
      </c>
      <c r="D771" s="13">
        <v>681202</v>
      </c>
      <c r="E771" s="13" t="s">
        <v>2</v>
      </c>
      <c r="F771" s="13">
        <v>100</v>
      </c>
      <c r="G771" s="13">
        <v>100</v>
      </c>
      <c r="H771" s="13"/>
      <c r="I771" s="13"/>
      <c r="J771" s="13"/>
      <c r="K771" s="13">
        <v>100</v>
      </c>
      <c r="L771" s="22" t="s">
        <v>21</v>
      </c>
      <c r="M771" s="13" t="s">
        <v>320</v>
      </c>
      <c r="N771" s="13">
        <f>IFERROR(VLOOKUP($A:$A,[1]KION_IND_E_COM_LT!$A:$T,18,0),"")</f>
        <v>0</v>
      </c>
      <c r="O771" s="14">
        <v>1</v>
      </c>
      <c r="P771" s="15">
        <f t="shared" ref="P771:P834" si="12">K771*O771</f>
        <v>100</v>
      </c>
      <c r="Q771" s="16">
        <v>44074</v>
      </c>
      <c r="R771" s="17">
        <v>7</v>
      </c>
      <c r="S771" s="13" t="s">
        <v>0</v>
      </c>
    </row>
    <row r="772" spans="1:19" x14ac:dyDescent="0.25">
      <c r="A772" s="13">
        <v>999931167</v>
      </c>
      <c r="B772" s="27" t="s">
        <v>245</v>
      </c>
      <c r="C772" s="28">
        <v>0</v>
      </c>
      <c r="D772" s="13">
        <v>681202</v>
      </c>
      <c r="E772" s="13" t="s">
        <v>2</v>
      </c>
      <c r="F772" s="13">
        <v>100</v>
      </c>
      <c r="G772" s="13">
        <v>100</v>
      </c>
      <c r="H772" s="13"/>
      <c r="I772" s="13"/>
      <c r="J772" s="13"/>
      <c r="K772" s="13">
        <v>100</v>
      </c>
      <c r="L772" s="22" t="s">
        <v>21</v>
      </c>
      <c r="M772" s="13" t="s">
        <v>320</v>
      </c>
      <c r="N772" s="13">
        <f>IFERROR(VLOOKUP($A:$A,[1]KION_IND_E_COM_LT!$A:$T,18,0),"")</f>
        <v>0</v>
      </c>
      <c r="O772" s="14">
        <v>1</v>
      </c>
      <c r="P772" s="15">
        <f t="shared" si="12"/>
        <v>100</v>
      </c>
      <c r="Q772" s="16">
        <v>44081</v>
      </c>
      <c r="R772" s="17">
        <v>8</v>
      </c>
      <c r="S772" s="13" t="s">
        <v>0</v>
      </c>
    </row>
    <row r="773" spans="1:19" x14ac:dyDescent="0.25">
      <c r="A773" s="13">
        <v>999931168</v>
      </c>
      <c r="B773" s="27" t="s">
        <v>245</v>
      </c>
      <c r="C773" s="28">
        <v>0</v>
      </c>
      <c r="D773" s="13">
        <v>681202</v>
      </c>
      <c r="E773" s="13" t="s">
        <v>2</v>
      </c>
      <c r="F773" s="13">
        <v>100</v>
      </c>
      <c r="G773" s="13">
        <v>100</v>
      </c>
      <c r="H773" s="13"/>
      <c r="I773" s="13"/>
      <c r="J773" s="13"/>
      <c r="K773" s="13">
        <v>100</v>
      </c>
      <c r="L773" s="22" t="s">
        <v>21</v>
      </c>
      <c r="M773" s="13" t="s">
        <v>320</v>
      </c>
      <c r="N773" s="13">
        <f>IFERROR(VLOOKUP($A:$A,[1]KION_IND_E_COM_LT!$A:$T,18,0),"")</f>
        <v>0</v>
      </c>
      <c r="O773" s="14">
        <v>1</v>
      </c>
      <c r="P773" s="15">
        <f t="shared" si="12"/>
        <v>100</v>
      </c>
      <c r="Q773" s="16">
        <v>44081</v>
      </c>
      <c r="R773" s="17">
        <v>8</v>
      </c>
      <c r="S773" s="13" t="s">
        <v>0</v>
      </c>
    </row>
    <row r="774" spans="1:19" x14ac:dyDescent="0.25">
      <c r="A774" s="13">
        <v>999931236</v>
      </c>
      <c r="B774" s="27" t="s">
        <v>246</v>
      </c>
      <c r="C774" s="28">
        <v>0</v>
      </c>
      <c r="D774" s="13">
        <v>681202</v>
      </c>
      <c r="E774" s="13" t="s">
        <v>2</v>
      </c>
      <c r="F774" s="13">
        <v>100</v>
      </c>
      <c r="G774" s="13">
        <v>100</v>
      </c>
      <c r="H774" s="13"/>
      <c r="I774" s="13"/>
      <c r="J774" s="13"/>
      <c r="K774" s="13">
        <v>100</v>
      </c>
      <c r="L774" s="23"/>
      <c r="M774" s="13" t="s">
        <v>39</v>
      </c>
      <c r="N774" s="13">
        <f>IFERROR(VLOOKUP($A:$A,[1]KION_IND_E_COM_LT!$A:$T,18,0),"")</f>
        <v>0</v>
      </c>
      <c r="O774" s="14">
        <v>1</v>
      </c>
      <c r="P774" s="15">
        <f t="shared" si="12"/>
        <v>100</v>
      </c>
      <c r="Q774" s="16"/>
      <c r="R774" s="17" t="s">
        <v>5</v>
      </c>
      <c r="S774" s="13" t="s">
        <v>0</v>
      </c>
    </row>
    <row r="775" spans="1:19" x14ac:dyDescent="0.25">
      <c r="A775" s="13">
        <v>999931237</v>
      </c>
      <c r="B775" s="27" t="s">
        <v>246</v>
      </c>
      <c r="C775" s="28">
        <v>0</v>
      </c>
      <c r="D775" s="13">
        <v>681202</v>
      </c>
      <c r="E775" s="13" t="s">
        <v>2</v>
      </c>
      <c r="F775" s="13">
        <v>100</v>
      </c>
      <c r="G775" s="13">
        <v>100</v>
      </c>
      <c r="H775" s="13"/>
      <c r="I775" s="13"/>
      <c r="J775" s="13"/>
      <c r="K775" s="13">
        <v>100</v>
      </c>
      <c r="L775" s="23"/>
      <c r="M775" s="13" t="s">
        <v>39</v>
      </c>
      <c r="N775" s="13">
        <f>IFERROR(VLOOKUP($A:$A,[1]KION_IND_E_COM_LT!$A:$T,18,0),"")</f>
        <v>0</v>
      </c>
      <c r="O775" s="14">
        <v>1</v>
      </c>
      <c r="P775" s="15">
        <f t="shared" si="12"/>
        <v>100</v>
      </c>
      <c r="Q775" s="16"/>
      <c r="R775" s="17" t="s">
        <v>5</v>
      </c>
      <c r="S775" s="13" t="s">
        <v>0</v>
      </c>
    </row>
    <row r="776" spans="1:19" x14ac:dyDescent="0.25">
      <c r="A776" s="13">
        <v>999931484</v>
      </c>
      <c r="B776" s="27" t="s">
        <v>247</v>
      </c>
      <c r="C776" s="28">
        <v>0</v>
      </c>
      <c r="D776" s="13">
        <v>681202</v>
      </c>
      <c r="E776" s="13" t="s">
        <v>2</v>
      </c>
      <c r="F776" s="13">
        <v>100</v>
      </c>
      <c r="G776" s="13">
        <v>100</v>
      </c>
      <c r="H776" s="13"/>
      <c r="I776" s="13"/>
      <c r="J776" s="13">
        <v>100</v>
      </c>
      <c r="K776" s="13">
        <v>0</v>
      </c>
      <c r="L776" s="22" t="s">
        <v>21</v>
      </c>
      <c r="M776" s="13" t="s">
        <v>320</v>
      </c>
      <c r="N776" s="13">
        <f>IFERROR(VLOOKUP($A:$A,[1]KION_IND_E_COM_LT!$A:$T,18,0),"")</f>
        <v>0</v>
      </c>
      <c r="O776" s="14"/>
      <c r="P776" s="15">
        <f t="shared" si="12"/>
        <v>0</v>
      </c>
      <c r="Q776" s="16"/>
      <c r="R776" s="17">
        <v>7</v>
      </c>
      <c r="S776" s="13" t="s">
        <v>0</v>
      </c>
    </row>
    <row r="777" spans="1:19" x14ac:dyDescent="0.25">
      <c r="A777" s="13">
        <v>999931485</v>
      </c>
      <c r="B777" s="27" t="s">
        <v>247</v>
      </c>
      <c r="C777" s="28">
        <v>0</v>
      </c>
      <c r="D777" s="13">
        <v>681202</v>
      </c>
      <c r="E777" s="13" t="s">
        <v>2</v>
      </c>
      <c r="F777" s="13">
        <v>100</v>
      </c>
      <c r="G777" s="13">
        <v>100</v>
      </c>
      <c r="H777" s="13"/>
      <c r="I777" s="13"/>
      <c r="J777" s="13">
        <v>100</v>
      </c>
      <c r="K777" s="13">
        <v>0</v>
      </c>
      <c r="L777" s="22" t="s">
        <v>21</v>
      </c>
      <c r="M777" s="13" t="s">
        <v>320</v>
      </c>
      <c r="N777" s="13">
        <f>IFERROR(VLOOKUP($A:$A,[1]KION_IND_E_COM_LT!$A:$T,18,0),"")</f>
        <v>0</v>
      </c>
      <c r="O777" s="14"/>
      <c r="P777" s="15">
        <f t="shared" si="12"/>
        <v>0</v>
      </c>
      <c r="Q777" s="16"/>
      <c r="R777" s="17">
        <v>7</v>
      </c>
      <c r="S777" s="13" t="s">
        <v>0</v>
      </c>
    </row>
    <row r="778" spans="1:19" x14ac:dyDescent="0.25">
      <c r="A778" s="13">
        <v>999931486</v>
      </c>
      <c r="B778" s="27" t="s">
        <v>247</v>
      </c>
      <c r="C778" s="28">
        <v>0</v>
      </c>
      <c r="D778" s="13">
        <v>681202</v>
      </c>
      <c r="E778" s="13" t="s">
        <v>2</v>
      </c>
      <c r="F778" s="13">
        <v>100</v>
      </c>
      <c r="G778" s="13">
        <v>100</v>
      </c>
      <c r="H778" s="13"/>
      <c r="I778" s="13">
        <v>100</v>
      </c>
      <c r="J778" s="13"/>
      <c r="K778" s="13">
        <v>0</v>
      </c>
      <c r="L778" s="22" t="s">
        <v>21</v>
      </c>
      <c r="M778" s="13" t="s">
        <v>320</v>
      </c>
      <c r="N778" s="13">
        <f>IFERROR(VLOOKUP($A:$A,[1]KION_IND_E_COM_LT!$A:$T,18,0),"")</f>
        <v>0</v>
      </c>
      <c r="O778" s="14"/>
      <c r="P778" s="15">
        <f t="shared" si="12"/>
        <v>0</v>
      </c>
      <c r="Q778" s="16"/>
      <c r="R778" s="17">
        <v>7</v>
      </c>
      <c r="S778" s="13" t="s">
        <v>0</v>
      </c>
    </row>
    <row r="779" spans="1:19" x14ac:dyDescent="0.25">
      <c r="A779" s="13">
        <v>999931487</v>
      </c>
      <c r="B779" s="27" t="s">
        <v>247</v>
      </c>
      <c r="C779" s="28">
        <v>0</v>
      </c>
      <c r="D779" s="13">
        <v>681202</v>
      </c>
      <c r="E779" s="13" t="s">
        <v>2</v>
      </c>
      <c r="F779" s="13">
        <v>100</v>
      </c>
      <c r="G779" s="13">
        <v>100</v>
      </c>
      <c r="H779" s="13"/>
      <c r="I779" s="13"/>
      <c r="J779" s="13"/>
      <c r="K779" s="13">
        <v>100</v>
      </c>
      <c r="L779" s="22" t="s">
        <v>21</v>
      </c>
      <c r="M779" s="13" t="s">
        <v>27</v>
      </c>
      <c r="N779" s="13">
        <f>IFERROR(VLOOKUP($A:$A,[1]KION_IND_E_COM_LT!$A:$T,18,0),"")</f>
        <v>0</v>
      </c>
      <c r="O779" s="14">
        <v>1</v>
      </c>
      <c r="P779" s="15">
        <f t="shared" si="12"/>
        <v>100</v>
      </c>
      <c r="Q779" s="16">
        <v>44074</v>
      </c>
      <c r="R779" s="17">
        <v>7</v>
      </c>
      <c r="S779" s="13" t="s">
        <v>0</v>
      </c>
    </row>
    <row r="780" spans="1:19" x14ac:dyDescent="0.25">
      <c r="A780" s="13">
        <v>999931488</v>
      </c>
      <c r="B780" s="27" t="s">
        <v>247</v>
      </c>
      <c r="C780" s="28">
        <v>0</v>
      </c>
      <c r="D780" s="13">
        <v>681202</v>
      </c>
      <c r="E780" s="13" t="s">
        <v>2</v>
      </c>
      <c r="F780" s="13">
        <v>100</v>
      </c>
      <c r="G780" s="13">
        <v>100</v>
      </c>
      <c r="H780" s="13"/>
      <c r="I780" s="13"/>
      <c r="J780" s="13"/>
      <c r="K780" s="13">
        <v>100</v>
      </c>
      <c r="L780" s="22" t="s">
        <v>21</v>
      </c>
      <c r="M780" s="13" t="s">
        <v>27</v>
      </c>
      <c r="N780" s="13">
        <f>IFERROR(VLOOKUP($A:$A,[1]KION_IND_E_COM_LT!$A:$T,18,0),"")</f>
        <v>0</v>
      </c>
      <c r="O780" s="14">
        <v>1</v>
      </c>
      <c r="P780" s="15">
        <f t="shared" si="12"/>
        <v>100</v>
      </c>
      <c r="Q780" s="16">
        <v>44081</v>
      </c>
      <c r="R780" s="17">
        <v>8</v>
      </c>
      <c r="S780" s="13" t="s">
        <v>0</v>
      </c>
    </row>
    <row r="781" spans="1:19" x14ac:dyDescent="0.25">
      <c r="A781" s="13">
        <v>999931489</v>
      </c>
      <c r="B781" s="27" t="s">
        <v>247</v>
      </c>
      <c r="C781" s="28">
        <v>0</v>
      </c>
      <c r="D781" s="13">
        <v>681202</v>
      </c>
      <c r="E781" s="13" t="s">
        <v>2</v>
      </c>
      <c r="F781" s="13">
        <v>100</v>
      </c>
      <c r="G781" s="13">
        <v>100</v>
      </c>
      <c r="H781" s="13"/>
      <c r="I781" s="13"/>
      <c r="J781" s="13"/>
      <c r="K781" s="13">
        <v>100</v>
      </c>
      <c r="L781" s="22" t="s">
        <v>21</v>
      </c>
      <c r="M781" s="13" t="s">
        <v>27</v>
      </c>
      <c r="N781" s="13">
        <f>IFERROR(VLOOKUP($A:$A,[1]KION_IND_E_COM_LT!$A:$T,18,0),"")</f>
        <v>0</v>
      </c>
      <c r="O781" s="14">
        <v>1</v>
      </c>
      <c r="P781" s="15">
        <f t="shared" si="12"/>
        <v>100</v>
      </c>
      <c r="Q781" s="16">
        <v>44081</v>
      </c>
      <c r="R781" s="17">
        <v>8</v>
      </c>
      <c r="S781" s="13" t="s">
        <v>0</v>
      </c>
    </row>
    <row r="782" spans="1:19" x14ac:dyDescent="0.25">
      <c r="A782" s="13">
        <v>999931562</v>
      </c>
      <c r="B782" s="27" t="s">
        <v>248</v>
      </c>
      <c r="C782" s="28">
        <v>0</v>
      </c>
      <c r="D782" s="13">
        <v>681202</v>
      </c>
      <c r="E782" s="13" t="s">
        <v>2</v>
      </c>
      <c r="F782" s="13">
        <v>100</v>
      </c>
      <c r="G782" s="13">
        <v>100</v>
      </c>
      <c r="H782" s="13"/>
      <c r="I782" s="13"/>
      <c r="J782" s="13">
        <v>100</v>
      </c>
      <c r="K782" s="13">
        <v>0</v>
      </c>
      <c r="L782" s="22" t="s">
        <v>21</v>
      </c>
      <c r="M782" s="13" t="s">
        <v>320</v>
      </c>
      <c r="N782" s="13">
        <f>IFERROR(VLOOKUP($A:$A,[1]KION_IND_E_COM_LT!$A:$T,18,0),"")</f>
        <v>0</v>
      </c>
      <c r="O782" s="14"/>
      <c r="P782" s="15">
        <f t="shared" si="12"/>
        <v>0</v>
      </c>
      <c r="Q782" s="16"/>
      <c r="R782" s="17">
        <v>6</v>
      </c>
      <c r="S782" s="13" t="s">
        <v>0</v>
      </c>
    </row>
    <row r="783" spans="1:19" x14ac:dyDescent="0.25">
      <c r="A783" s="13">
        <v>999931563</v>
      </c>
      <c r="B783" s="27" t="s">
        <v>248</v>
      </c>
      <c r="C783" s="28">
        <v>0</v>
      </c>
      <c r="D783" s="13">
        <v>681202</v>
      </c>
      <c r="E783" s="13" t="s">
        <v>2</v>
      </c>
      <c r="F783" s="13">
        <v>100</v>
      </c>
      <c r="G783" s="13">
        <v>100</v>
      </c>
      <c r="H783" s="13"/>
      <c r="I783" s="13"/>
      <c r="J783" s="13">
        <v>100</v>
      </c>
      <c r="K783" s="13">
        <v>0</v>
      </c>
      <c r="L783" s="22" t="s">
        <v>21</v>
      </c>
      <c r="M783" s="13" t="s">
        <v>320</v>
      </c>
      <c r="N783" s="13">
        <f>IFERROR(VLOOKUP($A:$A,[1]KION_IND_E_COM_LT!$A:$T,18,0),"")</f>
        <v>0</v>
      </c>
      <c r="O783" s="14"/>
      <c r="P783" s="15">
        <f t="shared" si="12"/>
        <v>0</v>
      </c>
      <c r="Q783" s="16"/>
      <c r="R783" s="17">
        <v>6</v>
      </c>
      <c r="S783" s="13" t="s">
        <v>0</v>
      </c>
    </row>
    <row r="784" spans="1:19" x14ac:dyDescent="0.25">
      <c r="A784" s="13">
        <v>999931564</v>
      </c>
      <c r="B784" s="27" t="s">
        <v>248</v>
      </c>
      <c r="C784" s="28">
        <v>0</v>
      </c>
      <c r="D784" s="13">
        <v>681202</v>
      </c>
      <c r="E784" s="13" t="s">
        <v>2</v>
      </c>
      <c r="F784" s="13">
        <v>100</v>
      </c>
      <c r="G784" s="13">
        <v>100</v>
      </c>
      <c r="H784" s="13"/>
      <c r="I784" s="13"/>
      <c r="J784" s="13"/>
      <c r="K784" s="13">
        <v>100</v>
      </c>
      <c r="L784" s="22" t="s">
        <v>21</v>
      </c>
      <c r="M784" s="13" t="s">
        <v>320</v>
      </c>
      <c r="N784" s="13">
        <f>IFERROR(VLOOKUP($A:$A,[1]KION_IND_E_COM_LT!$A:$T,18,0),"")</f>
        <v>0</v>
      </c>
      <c r="O784" s="14">
        <v>1</v>
      </c>
      <c r="P784" s="15">
        <f t="shared" si="12"/>
        <v>100</v>
      </c>
      <c r="Q784" s="16">
        <v>44067</v>
      </c>
      <c r="R784" s="17">
        <v>6</v>
      </c>
      <c r="S784" s="13" t="s">
        <v>0</v>
      </c>
    </row>
    <row r="785" spans="1:19" x14ac:dyDescent="0.25">
      <c r="A785" s="13">
        <v>999931565</v>
      </c>
      <c r="B785" s="27" t="s">
        <v>248</v>
      </c>
      <c r="C785" s="28">
        <v>0</v>
      </c>
      <c r="D785" s="13">
        <v>681202</v>
      </c>
      <c r="E785" s="13" t="s">
        <v>2</v>
      </c>
      <c r="F785" s="13">
        <v>100</v>
      </c>
      <c r="G785" s="13">
        <v>100</v>
      </c>
      <c r="H785" s="13"/>
      <c r="I785" s="13"/>
      <c r="J785" s="13"/>
      <c r="K785" s="13">
        <v>100</v>
      </c>
      <c r="L785" s="22" t="s">
        <v>21</v>
      </c>
      <c r="M785" s="13" t="s">
        <v>320</v>
      </c>
      <c r="N785" s="13">
        <f>IFERROR(VLOOKUP($A:$A,[1]KION_IND_E_COM_LT!$A:$T,18,0),"")</f>
        <v>0</v>
      </c>
      <c r="O785" s="14">
        <v>1</v>
      </c>
      <c r="P785" s="15">
        <f t="shared" si="12"/>
        <v>100</v>
      </c>
      <c r="Q785" s="16">
        <v>44074</v>
      </c>
      <c r="R785" s="17">
        <v>7</v>
      </c>
      <c r="S785" s="13" t="s">
        <v>0</v>
      </c>
    </row>
    <row r="786" spans="1:19" x14ac:dyDescent="0.25">
      <c r="A786" s="13">
        <v>999931566</v>
      </c>
      <c r="B786" s="27" t="s">
        <v>248</v>
      </c>
      <c r="C786" s="28">
        <v>0</v>
      </c>
      <c r="D786" s="13">
        <v>681202</v>
      </c>
      <c r="E786" s="13" t="s">
        <v>2</v>
      </c>
      <c r="F786" s="13">
        <v>100</v>
      </c>
      <c r="G786" s="13">
        <v>100</v>
      </c>
      <c r="H786" s="13"/>
      <c r="I786" s="13"/>
      <c r="J786" s="13"/>
      <c r="K786" s="13">
        <v>100</v>
      </c>
      <c r="L786" s="22" t="s">
        <v>21</v>
      </c>
      <c r="M786" s="13" t="s">
        <v>320</v>
      </c>
      <c r="N786" s="13">
        <f>IFERROR(VLOOKUP($A:$A,[1]KION_IND_E_COM_LT!$A:$T,18,0),"")</f>
        <v>0</v>
      </c>
      <c r="O786" s="14">
        <v>1</v>
      </c>
      <c r="P786" s="15">
        <f t="shared" si="12"/>
        <v>100</v>
      </c>
      <c r="Q786" s="16">
        <v>44081</v>
      </c>
      <c r="R786" s="17">
        <v>8</v>
      </c>
      <c r="S786" s="13" t="s">
        <v>0</v>
      </c>
    </row>
    <row r="787" spans="1:19" x14ac:dyDescent="0.25">
      <c r="A787" s="13">
        <v>999931690</v>
      </c>
      <c r="B787" s="27" t="s">
        <v>249</v>
      </c>
      <c r="C787" s="28">
        <v>2</v>
      </c>
      <c r="D787" s="13">
        <v>681202</v>
      </c>
      <c r="E787" s="13" t="s">
        <v>2</v>
      </c>
      <c r="F787" s="13">
        <v>100</v>
      </c>
      <c r="G787" s="13">
        <v>100</v>
      </c>
      <c r="H787" s="13"/>
      <c r="I787" s="13"/>
      <c r="J787" s="13"/>
      <c r="K787" s="13">
        <v>100</v>
      </c>
      <c r="L787" s="22" t="s">
        <v>21</v>
      </c>
      <c r="M787" s="13" t="s">
        <v>320</v>
      </c>
      <c r="N787" s="13">
        <f>IFERROR(VLOOKUP($A:$A,[1]KION_IND_E_COM_LT!$A:$T,18,0),"")</f>
        <v>0</v>
      </c>
      <c r="O787" s="14">
        <v>1</v>
      </c>
      <c r="P787" s="15">
        <f t="shared" si="12"/>
        <v>100</v>
      </c>
      <c r="Q787" s="16">
        <v>44053</v>
      </c>
      <c r="R787" s="17">
        <v>4</v>
      </c>
      <c r="S787" s="13" t="s">
        <v>0</v>
      </c>
    </row>
    <row r="788" spans="1:19" x14ac:dyDescent="0.25">
      <c r="A788" s="13">
        <v>999931691</v>
      </c>
      <c r="B788" s="27" t="s">
        <v>249</v>
      </c>
      <c r="C788" s="28">
        <v>2</v>
      </c>
      <c r="D788" s="13">
        <v>681202</v>
      </c>
      <c r="E788" s="13" t="s">
        <v>2</v>
      </c>
      <c r="F788" s="13">
        <v>100</v>
      </c>
      <c r="G788" s="13">
        <v>100</v>
      </c>
      <c r="H788" s="13"/>
      <c r="I788" s="13"/>
      <c r="J788" s="13"/>
      <c r="K788" s="13">
        <v>100</v>
      </c>
      <c r="L788" s="22" t="s">
        <v>21</v>
      </c>
      <c r="M788" s="13" t="s">
        <v>320</v>
      </c>
      <c r="N788" s="13">
        <f>IFERROR(VLOOKUP($A:$A,[1]KION_IND_E_COM_LT!$A:$T,18,0),"")</f>
        <v>0</v>
      </c>
      <c r="O788" s="14">
        <v>1</v>
      </c>
      <c r="P788" s="15">
        <f t="shared" si="12"/>
        <v>100</v>
      </c>
      <c r="Q788" s="16">
        <v>44053</v>
      </c>
      <c r="R788" s="17">
        <v>4</v>
      </c>
      <c r="S788" s="13" t="s">
        <v>0</v>
      </c>
    </row>
    <row r="789" spans="1:19" x14ac:dyDescent="0.25">
      <c r="A789" s="13">
        <v>999931692</v>
      </c>
      <c r="B789" s="27" t="s">
        <v>249</v>
      </c>
      <c r="C789" s="28">
        <v>2</v>
      </c>
      <c r="D789" s="13">
        <v>681202</v>
      </c>
      <c r="E789" s="13" t="s">
        <v>2</v>
      </c>
      <c r="F789" s="13">
        <v>100</v>
      </c>
      <c r="G789" s="13">
        <v>100</v>
      </c>
      <c r="H789" s="13"/>
      <c r="I789" s="13"/>
      <c r="J789" s="13"/>
      <c r="K789" s="13">
        <v>100</v>
      </c>
      <c r="L789" s="22" t="s">
        <v>21</v>
      </c>
      <c r="M789" s="13" t="s">
        <v>320</v>
      </c>
      <c r="N789" s="13">
        <f>IFERROR(VLOOKUP($A:$A,[1]KION_IND_E_COM_LT!$A:$T,18,0),"")</f>
        <v>0</v>
      </c>
      <c r="O789" s="14">
        <v>1</v>
      </c>
      <c r="P789" s="15">
        <f t="shared" si="12"/>
        <v>100</v>
      </c>
      <c r="Q789" s="16">
        <v>44067</v>
      </c>
      <c r="R789" s="17">
        <v>6</v>
      </c>
      <c r="S789" s="13" t="s">
        <v>0</v>
      </c>
    </row>
    <row r="790" spans="1:19" x14ac:dyDescent="0.25">
      <c r="A790" s="13">
        <v>999931693</v>
      </c>
      <c r="B790" s="27" t="s">
        <v>249</v>
      </c>
      <c r="C790" s="28">
        <v>2</v>
      </c>
      <c r="D790" s="13">
        <v>681202</v>
      </c>
      <c r="E790" s="13" t="s">
        <v>2</v>
      </c>
      <c r="F790" s="13">
        <v>100</v>
      </c>
      <c r="G790" s="13">
        <v>100</v>
      </c>
      <c r="H790" s="13"/>
      <c r="I790" s="13"/>
      <c r="J790" s="13"/>
      <c r="K790" s="13">
        <v>100</v>
      </c>
      <c r="L790" s="22" t="s">
        <v>21</v>
      </c>
      <c r="M790" s="13" t="s">
        <v>320</v>
      </c>
      <c r="N790" s="13">
        <f>IFERROR(VLOOKUP($A:$A,[1]KION_IND_E_COM_LT!$A:$T,18,0),"")</f>
        <v>0</v>
      </c>
      <c r="O790" s="14">
        <v>1</v>
      </c>
      <c r="P790" s="15">
        <f t="shared" si="12"/>
        <v>100</v>
      </c>
      <c r="Q790" s="16">
        <v>44067</v>
      </c>
      <c r="R790" s="17">
        <v>6</v>
      </c>
      <c r="S790" s="13" t="s">
        <v>0</v>
      </c>
    </row>
    <row r="791" spans="1:19" x14ac:dyDescent="0.25">
      <c r="A791" s="13">
        <v>999931694</v>
      </c>
      <c r="B791" s="27" t="s">
        <v>249</v>
      </c>
      <c r="C791" s="28">
        <v>2</v>
      </c>
      <c r="D791" s="13">
        <v>681202</v>
      </c>
      <c r="E791" s="13" t="s">
        <v>2</v>
      </c>
      <c r="F791" s="13">
        <v>100</v>
      </c>
      <c r="G791" s="13">
        <v>100</v>
      </c>
      <c r="H791" s="13"/>
      <c r="I791" s="13"/>
      <c r="J791" s="13"/>
      <c r="K791" s="13">
        <v>100</v>
      </c>
      <c r="L791" s="23"/>
      <c r="M791" s="13"/>
      <c r="N791" s="13">
        <f>IFERROR(VLOOKUP($A:$A,[1]KION_IND_E_COM_LT!$A:$T,18,0),"")</f>
        <v>0</v>
      </c>
      <c r="O791" s="14">
        <v>1</v>
      </c>
      <c r="P791" s="15">
        <f t="shared" si="12"/>
        <v>100</v>
      </c>
      <c r="Q791" s="16">
        <v>44074</v>
      </c>
      <c r="R791" s="17">
        <v>7</v>
      </c>
      <c r="S791" s="13" t="s">
        <v>0</v>
      </c>
    </row>
    <row r="792" spans="1:19" x14ac:dyDescent="0.25">
      <c r="A792" s="13">
        <v>999931695</v>
      </c>
      <c r="B792" s="27" t="s">
        <v>249</v>
      </c>
      <c r="C792" s="28">
        <v>2</v>
      </c>
      <c r="D792" s="13">
        <v>681202</v>
      </c>
      <c r="E792" s="13" t="s">
        <v>2</v>
      </c>
      <c r="F792" s="13">
        <v>100</v>
      </c>
      <c r="G792" s="13">
        <v>100</v>
      </c>
      <c r="H792" s="13"/>
      <c r="I792" s="13"/>
      <c r="J792" s="13"/>
      <c r="K792" s="13">
        <v>100</v>
      </c>
      <c r="L792" s="23"/>
      <c r="M792" s="13"/>
      <c r="N792" s="13">
        <f>IFERROR(VLOOKUP($A:$A,[1]KION_IND_E_COM_LT!$A:$T,18,0),"")</f>
        <v>0</v>
      </c>
      <c r="O792" s="14">
        <v>1</v>
      </c>
      <c r="P792" s="15">
        <f t="shared" si="12"/>
        <v>100</v>
      </c>
      <c r="Q792" s="16">
        <v>44074</v>
      </c>
      <c r="R792" s="17">
        <v>7</v>
      </c>
      <c r="S792" s="13" t="s">
        <v>0</v>
      </c>
    </row>
    <row r="793" spans="1:19" x14ac:dyDescent="0.25">
      <c r="A793" s="13">
        <v>999931696</v>
      </c>
      <c r="B793" s="27" t="s">
        <v>249</v>
      </c>
      <c r="C793" s="28">
        <v>2</v>
      </c>
      <c r="D793" s="13">
        <v>681202</v>
      </c>
      <c r="E793" s="13" t="s">
        <v>2</v>
      </c>
      <c r="F793" s="13">
        <v>100</v>
      </c>
      <c r="G793" s="13">
        <v>100</v>
      </c>
      <c r="H793" s="13"/>
      <c r="I793" s="13"/>
      <c r="J793" s="13"/>
      <c r="K793" s="13">
        <v>100</v>
      </c>
      <c r="L793" s="23"/>
      <c r="M793" s="13"/>
      <c r="N793" s="13">
        <f>IFERROR(VLOOKUP($A:$A,[1]KION_IND_E_COM_LT!$A:$T,18,0),"")</f>
        <v>0</v>
      </c>
      <c r="O793" s="14">
        <v>1</v>
      </c>
      <c r="P793" s="15">
        <f t="shared" si="12"/>
        <v>100</v>
      </c>
      <c r="Q793" s="16">
        <v>44074</v>
      </c>
      <c r="R793" s="17">
        <v>7</v>
      </c>
      <c r="S793" s="13" t="s">
        <v>0</v>
      </c>
    </row>
    <row r="794" spans="1:19" x14ac:dyDescent="0.25">
      <c r="A794" s="13">
        <v>999931697</v>
      </c>
      <c r="B794" s="27" t="s">
        <v>249</v>
      </c>
      <c r="C794" s="28">
        <v>2</v>
      </c>
      <c r="D794" s="13">
        <v>681202</v>
      </c>
      <c r="E794" s="13" t="s">
        <v>2</v>
      </c>
      <c r="F794" s="13">
        <v>100</v>
      </c>
      <c r="G794" s="13">
        <v>100</v>
      </c>
      <c r="H794" s="13"/>
      <c r="I794" s="13"/>
      <c r="J794" s="13"/>
      <c r="K794" s="13">
        <v>100</v>
      </c>
      <c r="L794" s="23"/>
      <c r="M794" s="13"/>
      <c r="N794" s="13">
        <f>IFERROR(VLOOKUP($A:$A,[1]KION_IND_E_COM_LT!$A:$T,18,0),"")</f>
        <v>0</v>
      </c>
      <c r="O794" s="14">
        <v>1</v>
      </c>
      <c r="P794" s="15">
        <f t="shared" si="12"/>
        <v>100</v>
      </c>
      <c r="Q794" s="16">
        <v>44081</v>
      </c>
      <c r="R794" s="17">
        <v>8</v>
      </c>
      <c r="S794" s="13" t="s">
        <v>0</v>
      </c>
    </row>
    <row r="795" spans="1:19" x14ac:dyDescent="0.25">
      <c r="A795" s="13">
        <v>999931698</v>
      </c>
      <c r="B795" s="27" t="s">
        <v>249</v>
      </c>
      <c r="C795" s="28">
        <v>2</v>
      </c>
      <c r="D795" s="13">
        <v>681202</v>
      </c>
      <c r="E795" s="13" t="s">
        <v>2</v>
      </c>
      <c r="F795" s="13">
        <v>100</v>
      </c>
      <c r="G795" s="13">
        <v>100</v>
      </c>
      <c r="H795" s="13"/>
      <c r="I795" s="13"/>
      <c r="J795" s="13"/>
      <c r="K795" s="13">
        <v>100</v>
      </c>
      <c r="L795" s="23"/>
      <c r="M795" s="13" t="s">
        <v>23</v>
      </c>
      <c r="N795" s="13">
        <f>IFERROR(VLOOKUP($A:$A,[1]KION_IND_E_COM_LT!$A:$T,18,0),"")</f>
        <v>0</v>
      </c>
      <c r="O795" s="14">
        <v>1</v>
      </c>
      <c r="P795" s="15">
        <f t="shared" si="12"/>
        <v>100</v>
      </c>
      <c r="Q795" s="16">
        <v>44081</v>
      </c>
      <c r="R795" s="17">
        <v>8</v>
      </c>
      <c r="S795" s="13" t="s">
        <v>0</v>
      </c>
    </row>
    <row r="796" spans="1:19" x14ac:dyDescent="0.25">
      <c r="A796" s="13">
        <v>999931699</v>
      </c>
      <c r="B796" s="27" t="s">
        <v>249</v>
      </c>
      <c r="C796" s="28">
        <v>2</v>
      </c>
      <c r="D796" s="13">
        <v>681202</v>
      </c>
      <c r="E796" s="13" t="s">
        <v>2</v>
      </c>
      <c r="F796" s="13">
        <v>100</v>
      </c>
      <c r="G796" s="13">
        <v>100</v>
      </c>
      <c r="H796" s="13"/>
      <c r="I796" s="13"/>
      <c r="J796" s="13"/>
      <c r="K796" s="13">
        <v>100</v>
      </c>
      <c r="L796" s="23"/>
      <c r="M796" s="13" t="s">
        <v>23</v>
      </c>
      <c r="N796" s="13" t="str">
        <f>IFERROR(VLOOKUP($A:$A,[1]KION_IND_E_COM_LT!$A:$T,18,0),"")</f>
        <v/>
      </c>
      <c r="O796" s="14">
        <v>1</v>
      </c>
      <c r="P796" s="15">
        <f t="shared" si="12"/>
        <v>100</v>
      </c>
      <c r="Q796" s="16">
        <v>44088</v>
      </c>
      <c r="R796" s="17">
        <v>9</v>
      </c>
      <c r="S796" s="13" t="s">
        <v>0</v>
      </c>
    </row>
    <row r="797" spans="1:19" x14ac:dyDescent="0.25">
      <c r="A797" s="13">
        <v>999931787</v>
      </c>
      <c r="B797" s="27" t="s">
        <v>251</v>
      </c>
      <c r="C797" s="28">
        <v>0</v>
      </c>
      <c r="D797" s="13">
        <v>681202</v>
      </c>
      <c r="E797" s="13" t="s">
        <v>2</v>
      </c>
      <c r="F797" s="13">
        <v>150</v>
      </c>
      <c r="G797" s="13">
        <v>150</v>
      </c>
      <c r="H797" s="13"/>
      <c r="I797" s="13"/>
      <c r="J797" s="13">
        <v>150</v>
      </c>
      <c r="K797" s="13">
        <v>0</v>
      </c>
      <c r="L797" s="22" t="s">
        <v>21</v>
      </c>
      <c r="M797" s="13" t="s">
        <v>320</v>
      </c>
      <c r="N797" s="13">
        <f>IFERROR(VLOOKUP($A:$A,[1]KION_IND_E_COM_LT!$A:$T,18,0),"")</f>
        <v>0</v>
      </c>
      <c r="O797" s="14"/>
      <c r="P797" s="15">
        <f t="shared" si="12"/>
        <v>0</v>
      </c>
      <c r="Q797" s="16"/>
      <c r="R797" s="17">
        <v>4</v>
      </c>
      <c r="S797" s="13" t="s">
        <v>0</v>
      </c>
    </row>
    <row r="798" spans="1:19" x14ac:dyDescent="0.25">
      <c r="A798" s="13">
        <v>999931788</v>
      </c>
      <c r="B798" s="27" t="s">
        <v>251</v>
      </c>
      <c r="C798" s="28">
        <v>0</v>
      </c>
      <c r="D798" s="13">
        <v>681202</v>
      </c>
      <c r="E798" s="13" t="s">
        <v>2</v>
      </c>
      <c r="F798" s="13">
        <v>100</v>
      </c>
      <c r="G798" s="13">
        <v>100</v>
      </c>
      <c r="H798" s="13"/>
      <c r="I798" s="13"/>
      <c r="J798" s="13">
        <v>100</v>
      </c>
      <c r="K798" s="13">
        <v>0</v>
      </c>
      <c r="L798" s="22" t="s">
        <v>21</v>
      </c>
      <c r="M798" s="13" t="s">
        <v>320</v>
      </c>
      <c r="N798" s="13">
        <f>IFERROR(VLOOKUP($A:$A,[1]KION_IND_E_COM_LT!$A:$T,18,0),"")</f>
        <v>0</v>
      </c>
      <c r="O798" s="14"/>
      <c r="P798" s="15">
        <f t="shared" si="12"/>
        <v>0</v>
      </c>
      <c r="Q798" s="16"/>
      <c r="R798" s="17">
        <v>4</v>
      </c>
      <c r="S798" s="13" t="s">
        <v>0</v>
      </c>
    </row>
    <row r="799" spans="1:19" x14ac:dyDescent="0.25">
      <c r="A799" s="13">
        <v>999931789</v>
      </c>
      <c r="B799" s="27" t="s">
        <v>251</v>
      </c>
      <c r="C799" s="28">
        <v>0</v>
      </c>
      <c r="D799" s="13">
        <v>681202</v>
      </c>
      <c r="E799" s="13" t="s">
        <v>2</v>
      </c>
      <c r="F799" s="13">
        <v>100</v>
      </c>
      <c r="G799" s="13">
        <v>100</v>
      </c>
      <c r="H799" s="13"/>
      <c r="I799" s="13"/>
      <c r="J799" s="13">
        <v>100</v>
      </c>
      <c r="K799" s="13">
        <v>0</v>
      </c>
      <c r="L799" s="22" t="s">
        <v>21</v>
      </c>
      <c r="M799" s="13" t="s">
        <v>320</v>
      </c>
      <c r="N799" s="13">
        <f>IFERROR(VLOOKUP($A:$A,[1]KION_IND_E_COM_LT!$A:$T,18,0),"")</f>
        <v>0</v>
      </c>
      <c r="O799" s="14"/>
      <c r="P799" s="15">
        <f t="shared" si="12"/>
        <v>0</v>
      </c>
      <c r="Q799" s="16"/>
      <c r="R799" s="17">
        <v>4</v>
      </c>
      <c r="S799" s="13" t="s">
        <v>0</v>
      </c>
    </row>
    <row r="800" spans="1:19" x14ac:dyDescent="0.25">
      <c r="A800" s="13">
        <v>999931790</v>
      </c>
      <c r="B800" s="27" t="s">
        <v>251</v>
      </c>
      <c r="C800" s="28">
        <v>0</v>
      </c>
      <c r="D800" s="13">
        <v>681202</v>
      </c>
      <c r="E800" s="13" t="s">
        <v>2</v>
      </c>
      <c r="F800" s="13">
        <v>100</v>
      </c>
      <c r="G800" s="13">
        <v>100</v>
      </c>
      <c r="H800" s="13"/>
      <c r="I800" s="13"/>
      <c r="J800" s="13"/>
      <c r="K800" s="13">
        <v>100</v>
      </c>
      <c r="L800" s="22" t="s">
        <v>21</v>
      </c>
      <c r="M800" s="13" t="s">
        <v>320</v>
      </c>
      <c r="N800" s="13">
        <f>IFERROR(VLOOKUP($A:$A,[1]KION_IND_E_COM_LT!$A:$T,18,0),"")</f>
        <v>0</v>
      </c>
      <c r="O800" s="14">
        <v>1</v>
      </c>
      <c r="P800" s="15">
        <f t="shared" si="12"/>
        <v>100</v>
      </c>
      <c r="Q800" s="16">
        <v>44053</v>
      </c>
      <c r="R800" s="17">
        <v>4</v>
      </c>
      <c r="S800" s="13" t="s">
        <v>0</v>
      </c>
    </row>
    <row r="801" spans="1:19" x14ac:dyDescent="0.25">
      <c r="A801" s="13">
        <v>999931791</v>
      </c>
      <c r="B801" s="27" t="s">
        <v>251</v>
      </c>
      <c r="C801" s="28">
        <v>0</v>
      </c>
      <c r="D801" s="13">
        <v>681202</v>
      </c>
      <c r="E801" s="13" t="s">
        <v>2</v>
      </c>
      <c r="F801" s="13">
        <v>100</v>
      </c>
      <c r="G801" s="13">
        <v>100</v>
      </c>
      <c r="H801" s="13"/>
      <c r="I801" s="13"/>
      <c r="J801" s="13"/>
      <c r="K801" s="13">
        <v>100</v>
      </c>
      <c r="L801" s="22" t="s">
        <v>21</v>
      </c>
      <c r="M801" s="13" t="s">
        <v>320</v>
      </c>
      <c r="N801" s="13">
        <f>IFERROR(VLOOKUP($A:$A,[1]KION_IND_E_COM_LT!$A:$T,18,0),"")</f>
        <v>0</v>
      </c>
      <c r="O801" s="14">
        <v>1</v>
      </c>
      <c r="P801" s="15">
        <f t="shared" si="12"/>
        <v>100</v>
      </c>
      <c r="Q801" s="16">
        <v>44067</v>
      </c>
      <c r="R801" s="17">
        <v>6</v>
      </c>
      <c r="S801" s="13" t="s">
        <v>0</v>
      </c>
    </row>
    <row r="802" spans="1:19" x14ac:dyDescent="0.25">
      <c r="A802" s="13">
        <v>999931792</v>
      </c>
      <c r="B802" s="27" t="s">
        <v>251</v>
      </c>
      <c r="C802" s="28">
        <v>0</v>
      </c>
      <c r="D802" s="13">
        <v>681202</v>
      </c>
      <c r="E802" s="13" t="s">
        <v>2</v>
      </c>
      <c r="F802" s="13">
        <v>100</v>
      </c>
      <c r="G802" s="13">
        <v>100</v>
      </c>
      <c r="H802" s="13"/>
      <c r="I802" s="13"/>
      <c r="J802" s="13"/>
      <c r="K802" s="13">
        <v>100</v>
      </c>
      <c r="L802" s="22" t="s">
        <v>21</v>
      </c>
      <c r="M802" s="13" t="s">
        <v>320</v>
      </c>
      <c r="N802" s="13">
        <f>IFERROR(VLOOKUP($A:$A,[1]KION_IND_E_COM_LT!$A:$T,18,0),"")</f>
        <v>0</v>
      </c>
      <c r="O802" s="14">
        <v>1</v>
      </c>
      <c r="P802" s="15">
        <f t="shared" si="12"/>
        <v>100</v>
      </c>
      <c r="Q802" s="16">
        <v>44067</v>
      </c>
      <c r="R802" s="17">
        <v>6</v>
      </c>
      <c r="S802" s="13" t="s">
        <v>0</v>
      </c>
    </row>
    <row r="803" spans="1:19" x14ac:dyDescent="0.25">
      <c r="A803" s="13">
        <v>999931793</v>
      </c>
      <c r="B803" s="27" t="s">
        <v>251</v>
      </c>
      <c r="C803" s="28">
        <v>0</v>
      </c>
      <c r="D803" s="13">
        <v>681202</v>
      </c>
      <c r="E803" s="13" t="s">
        <v>2</v>
      </c>
      <c r="F803" s="13">
        <v>100</v>
      </c>
      <c r="G803" s="13">
        <v>100</v>
      </c>
      <c r="H803" s="13"/>
      <c r="I803" s="13"/>
      <c r="J803" s="13"/>
      <c r="K803" s="13">
        <v>100</v>
      </c>
      <c r="L803" s="22" t="s">
        <v>21</v>
      </c>
      <c r="M803" s="13" t="s">
        <v>320</v>
      </c>
      <c r="N803" s="13">
        <f>IFERROR(VLOOKUP($A:$A,[1]KION_IND_E_COM_LT!$A:$T,18,0),"")</f>
        <v>0</v>
      </c>
      <c r="O803" s="14">
        <v>1</v>
      </c>
      <c r="P803" s="15">
        <f t="shared" si="12"/>
        <v>100</v>
      </c>
      <c r="Q803" s="16">
        <v>44074</v>
      </c>
      <c r="R803" s="17">
        <v>7</v>
      </c>
      <c r="S803" s="13" t="s">
        <v>0</v>
      </c>
    </row>
    <row r="804" spans="1:19" x14ac:dyDescent="0.25">
      <c r="A804" s="13">
        <v>999931794</v>
      </c>
      <c r="B804" s="27" t="s">
        <v>251</v>
      </c>
      <c r="C804" s="28">
        <v>0</v>
      </c>
      <c r="D804" s="13">
        <v>681202</v>
      </c>
      <c r="E804" s="13" t="s">
        <v>2</v>
      </c>
      <c r="F804" s="13">
        <v>100</v>
      </c>
      <c r="G804" s="13">
        <v>100</v>
      </c>
      <c r="H804" s="13"/>
      <c r="I804" s="13"/>
      <c r="J804" s="13"/>
      <c r="K804" s="13">
        <v>100</v>
      </c>
      <c r="L804" s="22" t="s">
        <v>21</v>
      </c>
      <c r="M804" s="13" t="s">
        <v>320</v>
      </c>
      <c r="N804" s="13">
        <f>IFERROR(VLOOKUP($A:$A,[1]KION_IND_E_COM_LT!$A:$T,18,0),"")</f>
        <v>0</v>
      </c>
      <c r="O804" s="14">
        <v>1</v>
      </c>
      <c r="P804" s="15">
        <f t="shared" si="12"/>
        <v>100</v>
      </c>
      <c r="Q804" s="16">
        <v>44074</v>
      </c>
      <c r="R804" s="17">
        <v>7</v>
      </c>
      <c r="S804" s="13" t="s">
        <v>0</v>
      </c>
    </row>
    <row r="805" spans="1:19" x14ac:dyDescent="0.25">
      <c r="A805" s="13">
        <v>999931795</v>
      </c>
      <c r="B805" s="27" t="s">
        <v>251</v>
      </c>
      <c r="C805" s="28">
        <v>0</v>
      </c>
      <c r="D805" s="13">
        <v>681202</v>
      </c>
      <c r="E805" s="13" t="s">
        <v>2</v>
      </c>
      <c r="F805" s="13">
        <v>100</v>
      </c>
      <c r="G805" s="13">
        <v>100</v>
      </c>
      <c r="H805" s="13"/>
      <c r="I805" s="13"/>
      <c r="J805" s="13"/>
      <c r="K805" s="13">
        <v>100</v>
      </c>
      <c r="L805" s="22" t="s">
        <v>21</v>
      </c>
      <c r="M805" s="13" t="s">
        <v>320</v>
      </c>
      <c r="N805" s="13">
        <f>IFERROR(VLOOKUP($A:$A,[1]KION_IND_E_COM_LT!$A:$T,18,0),"")</f>
        <v>0</v>
      </c>
      <c r="O805" s="14">
        <v>1</v>
      </c>
      <c r="P805" s="15">
        <f t="shared" si="12"/>
        <v>100</v>
      </c>
      <c r="Q805" s="16">
        <v>44074</v>
      </c>
      <c r="R805" s="17">
        <v>7</v>
      </c>
      <c r="S805" s="13" t="s">
        <v>0</v>
      </c>
    </row>
    <row r="806" spans="1:19" x14ac:dyDescent="0.25">
      <c r="A806" s="13">
        <v>999931796</v>
      </c>
      <c r="B806" s="27" t="s">
        <v>251</v>
      </c>
      <c r="C806" s="28">
        <v>0</v>
      </c>
      <c r="D806" s="13">
        <v>681202</v>
      </c>
      <c r="E806" s="13" t="s">
        <v>2</v>
      </c>
      <c r="F806" s="13">
        <v>100</v>
      </c>
      <c r="G806" s="13">
        <v>100</v>
      </c>
      <c r="H806" s="13"/>
      <c r="I806" s="13"/>
      <c r="J806" s="13"/>
      <c r="K806" s="13">
        <v>100</v>
      </c>
      <c r="L806" s="22" t="s">
        <v>21</v>
      </c>
      <c r="M806" s="13" t="s">
        <v>27</v>
      </c>
      <c r="N806" s="13">
        <f>IFERROR(VLOOKUP($A:$A,[1]KION_IND_E_COM_LT!$A:$T,18,0),"")</f>
        <v>0</v>
      </c>
      <c r="O806" s="14">
        <v>1</v>
      </c>
      <c r="P806" s="15">
        <f t="shared" si="12"/>
        <v>100</v>
      </c>
      <c r="Q806" s="16">
        <v>44081</v>
      </c>
      <c r="R806" s="17">
        <v>8</v>
      </c>
      <c r="S806" s="13" t="s">
        <v>0</v>
      </c>
    </row>
    <row r="807" spans="1:19" x14ac:dyDescent="0.25">
      <c r="A807" s="13">
        <v>999931797</v>
      </c>
      <c r="B807" s="27" t="s">
        <v>251</v>
      </c>
      <c r="C807" s="28">
        <v>0</v>
      </c>
      <c r="D807" s="13">
        <v>681202</v>
      </c>
      <c r="E807" s="13" t="s">
        <v>2</v>
      </c>
      <c r="F807" s="13">
        <v>100</v>
      </c>
      <c r="G807" s="13">
        <v>100</v>
      </c>
      <c r="H807" s="13"/>
      <c r="I807" s="13"/>
      <c r="J807" s="13"/>
      <c r="K807" s="13">
        <v>100</v>
      </c>
      <c r="L807" s="23"/>
      <c r="M807" s="13" t="s">
        <v>23</v>
      </c>
      <c r="N807" s="13" t="str">
        <f>IFERROR(VLOOKUP($A:$A,[1]KION_IND_E_COM_LT!$A:$T,18,0),"")</f>
        <v/>
      </c>
      <c r="O807" s="14">
        <v>1</v>
      </c>
      <c r="P807" s="15">
        <f t="shared" si="12"/>
        <v>100</v>
      </c>
      <c r="Q807" s="16">
        <v>44081</v>
      </c>
      <c r="R807" s="17">
        <v>8</v>
      </c>
      <c r="S807" s="13" t="s">
        <v>0</v>
      </c>
    </row>
    <row r="808" spans="1:19" x14ac:dyDescent="0.25">
      <c r="A808" s="13">
        <v>999931798</v>
      </c>
      <c r="B808" s="27" t="s">
        <v>251</v>
      </c>
      <c r="C808" s="28">
        <v>0</v>
      </c>
      <c r="D808" s="13">
        <v>681202</v>
      </c>
      <c r="E808" s="13" t="s">
        <v>2</v>
      </c>
      <c r="F808" s="13">
        <v>100</v>
      </c>
      <c r="G808" s="13">
        <v>100</v>
      </c>
      <c r="H808" s="13"/>
      <c r="I808" s="13"/>
      <c r="J808" s="13"/>
      <c r="K808" s="13">
        <v>100</v>
      </c>
      <c r="L808" s="23"/>
      <c r="M808" s="13" t="s">
        <v>23</v>
      </c>
      <c r="N808" s="13" t="str">
        <f>IFERROR(VLOOKUP($A:$A,[1]KION_IND_E_COM_LT!$A:$T,18,0),"")</f>
        <v/>
      </c>
      <c r="O808" s="14">
        <v>1</v>
      </c>
      <c r="P808" s="15">
        <f t="shared" si="12"/>
        <v>100</v>
      </c>
      <c r="Q808" s="16">
        <v>44088</v>
      </c>
      <c r="R808" s="17">
        <v>9</v>
      </c>
      <c r="S808" s="13" t="s">
        <v>0</v>
      </c>
    </row>
    <row r="809" spans="1:19" x14ac:dyDescent="0.25">
      <c r="A809" s="13">
        <v>999931799</v>
      </c>
      <c r="B809" s="27" t="s">
        <v>251</v>
      </c>
      <c r="C809" s="28">
        <v>0</v>
      </c>
      <c r="D809" s="13">
        <v>681202</v>
      </c>
      <c r="E809" s="13" t="s">
        <v>2</v>
      </c>
      <c r="F809" s="13">
        <v>100</v>
      </c>
      <c r="G809" s="13">
        <v>100</v>
      </c>
      <c r="H809" s="13"/>
      <c r="I809" s="13"/>
      <c r="J809" s="13"/>
      <c r="K809" s="13">
        <v>100</v>
      </c>
      <c r="L809" s="23"/>
      <c r="M809" s="13" t="s">
        <v>23</v>
      </c>
      <c r="N809" s="13" t="str">
        <f>IFERROR(VLOOKUP($A:$A,[1]KION_IND_E_COM_LT!$A:$T,18,0),"")</f>
        <v/>
      </c>
      <c r="O809" s="14">
        <v>1</v>
      </c>
      <c r="P809" s="15">
        <f t="shared" si="12"/>
        <v>100</v>
      </c>
      <c r="Q809" s="16">
        <v>44088</v>
      </c>
      <c r="R809" s="17">
        <v>9</v>
      </c>
      <c r="S809" s="13" t="s">
        <v>0</v>
      </c>
    </row>
    <row r="810" spans="1:19" x14ac:dyDescent="0.25">
      <c r="A810" s="13">
        <v>999931987</v>
      </c>
      <c r="B810" s="27" t="s">
        <v>254</v>
      </c>
      <c r="C810" s="28">
        <v>0</v>
      </c>
      <c r="D810" s="13">
        <v>681202</v>
      </c>
      <c r="E810" s="13" t="s">
        <v>2</v>
      </c>
      <c r="F810" s="13">
        <v>150</v>
      </c>
      <c r="G810" s="13">
        <v>150</v>
      </c>
      <c r="H810" s="13"/>
      <c r="I810" s="13"/>
      <c r="J810" s="13">
        <v>150</v>
      </c>
      <c r="K810" s="13">
        <v>0</v>
      </c>
      <c r="L810" s="22" t="s">
        <v>21</v>
      </c>
      <c r="M810" s="13" t="s">
        <v>320</v>
      </c>
      <c r="N810" s="13">
        <f>IFERROR(VLOOKUP($A:$A,[1]KION_IND_E_COM_LT!$A:$T,18,0),"")</f>
        <v>0</v>
      </c>
      <c r="O810" s="14"/>
      <c r="P810" s="15">
        <f t="shared" si="12"/>
        <v>0</v>
      </c>
      <c r="Q810" s="16"/>
      <c r="R810" s="17">
        <v>4</v>
      </c>
      <c r="S810" s="13" t="s">
        <v>0</v>
      </c>
    </row>
    <row r="811" spans="1:19" x14ac:dyDescent="0.25">
      <c r="A811" s="13">
        <v>999931988</v>
      </c>
      <c r="B811" s="27" t="s">
        <v>254</v>
      </c>
      <c r="C811" s="28">
        <v>0</v>
      </c>
      <c r="D811" s="13">
        <v>681202</v>
      </c>
      <c r="E811" s="13" t="s">
        <v>2</v>
      </c>
      <c r="F811" s="13">
        <v>100</v>
      </c>
      <c r="G811" s="13">
        <v>100</v>
      </c>
      <c r="H811" s="13"/>
      <c r="I811" s="13">
        <v>100</v>
      </c>
      <c r="J811" s="13"/>
      <c r="K811" s="13">
        <v>0</v>
      </c>
      <c r="L811" s="23"/>
      <c r="M811" s="13" t="s">
        <v>23</v>
      </c>
      <c r="N811" s="13">
        <f>IFERROR(VLOOKUP($A:$A,[1]KION_IND_E_COM_LT!$A:$T,18,0),"")</f>
        <v>0</v>
      </c>
      <c r="O811" s="14"/>
      <c r="P811" s="15">
        <f t="shared" si="12"/>
        <v>0</v>
      </c>
      <c r="Q811" s="16"/>
      <c r="R811" s="17">
        <v>4</v>
      </c>
      <c r="S811" s="13" t="s">
        <v>0</v>
      </c>
    </row>
    <row r="812" spans="1:19" x14ac:dyDescent="0.25">
      <c r="A812" s="13">
        <v>999931989</v>
      </c>
      <c r="B812" s="27" t="s">
        <v>254</v>
      </c>
      <c r="C812" s="28">
        <v>0</v>
      </c>
      <c r="D812" s="13">
        <v>681202</v>
      </c>
      <c r="E812" s="13" t="s">
        <v>2</v>
      </c>
      <c r="F812" s="13">
        <v>100</v>
      </c>
      <c r="G812" s="13">
        <v>100</v>
      </c>
      <c r="H812" s="13"/>
      <c r="I812" s="13">
        <v>100</v>
      </c>
      <c r="J812" s="13"/>
      <c r="K812" s="13">
        <v>0</v>
      </c>
      <c r="L812" s="23"/>
      <c r="M812" s="13" t="s">
        <v>23</v>
      </c>
      <c r="N812" s="13">
        <f>IFERROR(VLOOKUP($A:$A,[1]KION_IND_E_COM_LT!$A:$T,18,0),"")</f>
        <v>0</v>
      </c>
      <c r="O812" s="14"/>
      <c r="P812" s="15">
        <f t="shared" si="12"/>
        <v>0</v>
      </c>
      <c r="Q812" s="16"/>
      <c r="R812" s="17">
        <v>4</v>
      </c>
      <c r="S812" s="13" t="s">
        <v>0</v>
      </c>
    </row>
    <row r="813" spans="1:19" x14ac:dyDescent="0.25">
      <c r="A813" s="13">
        <v>999931990</v>
      </c>
      <c r="B813" s="27" t="s">
        <v>254</v>
      </c>
      <c r="C813" s="28">
        <v>0</v>
      </c>
      <c r="D813" s="13">
        <v>681202</v>
      </c>
      <c r="E813" s="13" t="s">
        <v>2</v>
      </c>
      <c r="F813" s="13">
        <v>100</v>
      </c>
      <c r="G813" s="13">
        <v>100</v>
      </c>
      <c r="H813" s="13"/>
      <c r="I813" s="13"/>
      <c r="J813" s="13"/>
      <c r="K813" s="13">
        <v>100</v>
      </c>
      <c r="L813" s="22" t="s">
        <v>21</v>
      </c>
      <c r="M813" s="13" t="s">
        <v>320</v>
      </c>
      <c r="N813" s="22" t="s">
        <v>64</v>
      </c>
      <c r="O813" s="14">
        <v>1</v>
      </c>
      <c r="P813" s="15">
        <f t="shared" si="12"/>
        <v>100</v>
      </c>
      <c r="Q813" s="16">
        <v>44053</v>
      </c>
      <c r="R813" s="17">
        <v>4</v>
      </c>
      <c r="S813" s="13" t="s">
        <v>0</v>
      </c>
    </row>
    <row r="814" spans="1:19" x14ac:dyDescent="0.25">
      <c r="A814" s="13">
        <v>999931991</v>
      </c>
      <c r="B814" s="27" t="s">
        <v>254</v>
      </c>
      <c r="C814" s="28">
        <v>0</v>
      </c>
      <c r="D814" s="13">
        <v>681202</v>
      </c>
      <c r="E814" s="13" t="s">
        <v>2</v>
      </c>
      <c r="F814" s="13">
        <v>100</v>
      </c>
      <c r="G814" s="13">
        <v>100</v>
      </c>
      <c r="H814" s="13"/>
      <c r="I814" s="13"/>
      <c r="J814" s="13"/>
      <c r="K814" s="13">
        <v>100</v>
      </c>
      <c r="L814" s="22" t="s">
        <v>21</v>
      </c>
      <c r="M814" s="13" t="s">
        <v>320</v>
      </c>
      <c r="N814" s="22" t="s">
        <v>64</v>
      </c>
      <c r="O814" s="14">
        <v>1</v>
      </c>
      <c r="P814" s="15">
        <f t="shared" si="12"/>
        <v>100</v>
      </c>
      <c r="Q814" s="16">
        <v>44067</v>
      </c>
      <c r="R814" s="17">
        <v>6</v>
      </c>
      <c r="S814" s="13" t="s">
        <v>0</v>
      </c>
    </row>
    <row r="815" spans="1:19" x14ac:dyDescent="0.25">
      <c r="A815" s="13">
        <v>999931992</v>
      </c>
      <c r="B815" s="27" t="s">
        <v>254</v>
      </c>
      <c r="C815" s="28">
        <v>0</v>
      </c>
      <c r="D815" s="13">
        <v>681202</v>
      </c>
      <c r="E815" s="13" t="s">
        <v>2</v>
      </c>
      <c r="F815" s="13">
        <v>100</v>
      </c>
      <c r="G815" s="13">
        <v>100</v>
      </c>
      <c r="H815" s="13"/>
      <c r="I815" s="13"/>
      <c r="J815" s="13"/>
      <c r="K815" s="13">
        <v>100</v>
      </c>
      <c r="L815" s="22" t="s">
        <v>21</v>
      </c>
      <c r="M815" s="13" t="s">
        <v>320</v>
      </c>
      <c r="N815" s="22" t="s">
        <v>64</v>
      </c>
      <c r="O815" s="14">
        <v>1</v>
      </c>
      <c r="P815" s="15">
        <f t="shared" si="12"/>
        <v>100</v>
      </c>
      <c r="Q815" s="16">
        <v>44067</v>
      </c>
      <c r="R815" s="17">
        <v>6</v>
      </c>
      <c r="S815" s="13" t="s">
        <v>0</v>
      </c>
    </row>
    <row r="816" spans="1:19" x14ac:dyDescent="0.25">
      <c r="A816" s="13">
        <v>999931993</v>
      </c>
      <c r="B816" s="27" t="s">
        <v>254</v>
      </c>
      <c r="C816" s="28">
        <v>0</v>
      </c>
      <c r="D816" s="13">
        <v>681202</v>
      </c>
      <c r="E816" s="13" t="s">
        <v>2</v>
      </c>
      <c r="F816" s="13">
        <v>100</v>
      </c>
      <c r="G816" s="13">
        <v>100</v>
      </c>
      <c r="H816" s="13"/>
      <c r="I816" s="13"/>
      <c r="J816" s="13"/>
      <c r="K816" s="13">
        <v>100</v>
      </c>
      <c r="L816" s="22" t="s">
        <v>21</v>
      </c>
      <c r="M816" s="13" t="s">
        <v>320</v>
      </c>
      <c r="N816" s="22" t="s">
        <v>64</v>
      </c>
      <c r="O816" s="14">
        <v>1</v>
      </c>
      <c r="P816" s="15">
        <f t="shared" si="12"/>
        <v>100</v>
      </c>
      <c r="Q816" s="16">
        <v>44074</v>
      </c>
      <c r="R816" s="17">
        <v>7</v>
      </c>
      <c r="S816" s="13" t="s">
        <v>0</v>
      </c>
    </row>
    <row r="817" spans="1:19" x14ac:dyDescent="0.25">
      <c r="A817" s="13">
        <v>999931994</v>
      </c>
      <c r="B817" s="27" t="s">
        <v>254</v>
      </c>
      <c r="C817" s="28">
        <v>0</v>
      </c>
      <c r="D817" s="13">
        <v>681202</v>
      </c>
      <c r="E817" s="13" t="s">
        <v>2</v>
      </c>
      <c r="F817" s="13">
        <v>100</v>
      </c>
      <c r="G817" s="13">
        <v>100</v>
      </c>
      <c r="H817" s="13"/>
      <c r="I817" s="13"/>
      <c r="J817" s="13"/>
      <c r="K817" s="13">
        <v>100</v>
      </c>
      <c r="L817" s="22" t="s">
        <v>21</v>
      </c>
      <c r="M817" s="13" t="s">
        <v>320</v>
      </c>
      <c r="N817" s="22" t="s">
        <v>64</v>
      </c>
      <c r="O817" s="14">
        <v>1</v>
      </c>
      <c r="P817" s="15">
        <f t="shared" si="12"/>
        <v>100</v>
      </c>
      <c r="Q817" s="16">
        <v>44074</v>
      </c>
      <c r="R817" s="17">
        <v>7</v>
      </c>
      <c r="S817" s="13" t="s">
        <v>0</v>
      </c>
    </row>
    <row r="818" spans="1:19" x14ac:dyDescent="0.25">
      <c r="A818" s="13">
        <v>999931995</v>
      </c>
      <c r="B818" s="27" t="s">
        <v>254</v>
      </c>
      <c r="C818" s="28">
        <v>0</v>
      </c>
      <c r="D818" s="13">
        <v>681202</v>
      </c>
      <c r="E818" s="13" t="s">
        <v>2</v>
      </c>
      <c r="F818" s="13">
        <v>100</v>
      </c>
      <c r="G818" s="13">
        <v>100</v>
      </c>
      <c r="H818" s="13"/>
      <c r="I818" s="13"/>
      <c r="J818" s="13"/>
      <c r="K818" s="13">
        <v>100</v>
      </c>
      <c r="L818" s="22" t="s">
        <v>21</v>
      </c>
      <c r="M818" s="13" t="s">
        <v>320</v>
      </c>
      <c r="N818" s="22" t="s">
        <v>64</v>
      </c>
      <c r="O818" s="14">
        <v>1</v>
      </c>
      <c r="P818" s="15">
        <f t="shared" si="12"/>
        <v>100</v>
      </c>
      <c r="Q818" s="16">
        <v>44074</v>
      </c>
      <c r="R818" s="17">
        <v>7</v>
      </c>
      <c r="S818" s="13" t="s">
        <v>0</v>
      </c>
    </row>
    <row r="819" spans="1:19" x14ac:dyDescent="0.25">
      <c r="A819" s="13">
        <v>999931996</v>
      </c>
      <c r="B819" s="27" t="s">
        <v>254</v>
      </c>
      <c r="C819" s="28">
        <v>0</v>
      </c>
      <c r="D819" s="13">
        <v>681202</v>
      </c>
      <c r="E819" s="13" t="s">
        <v>2</v>
      </c>
      <c r="F819" s="13">
        <v>100</v>
      </c>
      <c r="G819" s="13">
        <v>100</v>
      </c>
      <c r="H819" s="13"/>
      <c r="I819" s="13"/>
      <c r="J819" s="13"/>
      <c r="K819" s="13">
        <v>100</v>
      </c>
      <c r="L819" s="22" t="s">
        <v>21</v>
      </c>
      <c r="M819" s="13" t="s">
        <v>320</v>
      </c>
      <c r="N819" s="22" t="s">
        <v>64</v>
      </c>
      <c r="O819" s="14">
        <v>1</v>
      </c>
      <c r="P819" s="15">
        <f t="shared" si="12"/>
        <v>100</v>
      </c>
      <c r="Q819" s="16">
        <v>44081</v>
      </c>
      <c r="R819" s="17">
        <v>8</v>
      </c>
      <c r="S819" s="13" t="s">
        <v>0</v>
      </c>
    </row>
    <row r="820" spans="1:19" x14ac:dyDescent="0.25">
      <c r="A820" s="13">
        <v>999931997</v>
      </c>
      <c r="B820" s="27" t="s">
        <v>254</v>
      </c>
      <c r="C820" s="28">
        <v>0</v>
      </c>
      <c r="D820" s="13">
        <v>681202</v>
      </c>
      <c r="E820" s="13" t="s">
        <v>2</v>
      </c>
      <c r="F820" s="13">
        <v>100</v>
      </c>
      <c r="G820" s="13">
        <v>100</v>
      </c>
      <c r="H820" s="13"/>
      <c r="I820" s="13"/>
      <c r="J820" s="13"/>
      <c r="K820" s="13">
        <v>100</v>
      </c>
      <c r="L820" s="23"/>
      <c r="M820" s="13" t="s">
        <v>23</v>
      </c>
      <c r="N820" s="13">
        <f>IFERROR(VLOOKUP($A:$A,[1]KION_IND_E_COM_LT!$A:$T,18,0),"")</f>
        <v>0</v>
      </c>
      <c r="O820" s="14">
        <v>1</v>
      </c>
      <c r="P820" s="15">
        <f t="shared" si="12"/>
        <v>100</v>
      </c>
      <c r="Q820" s="16">
        <v>44081</v>
      </c>
      <c r="R820" s="17">
        <v>8</v>
      </c>
      <c r="S820" s="13" t="s">
        <v>0</v>
      </c>
    </row>
    <row r="821" spans="1:19" x14ac:dyDescent="0.25">
      <c r="A821" s="13">
        <v>999931998</v>
      </c>
      <c r="B821" s="27" t="s">
        <v>254</v>
      </c>
      <c r="C821" s="28">
        <v>0</v>
      </c>
      <c r="D821" s="13">
        <v>681202</v>
      </c>
      <c r="E821" s="13" t="s">
        <v>2</v>
      </c>
      <c r="F821" s="13">
        <v>100</v>
      </c>
      <c r="G821" s="13">
        <v>100</v>
      </c>
      <c r="H821" s="13"/>
      <c r="I821" s="13"/>
      <c r="J821" s="13"/>
      <c r="K821" s="13">
        <v>100</v>
      </c>
      <c r="L821" s="23"/>
      <c r="M821" s="13" t="s">
        <v>23</v>
      </c>
      <c r="N821" s="13" t="str">
        <f>IFERROR(VLOOKUP($A:$A,[1]KION_IND_E_COM_LT!$A:$T,18,0),"")</f>
        <v/>
      </c>
      <c r="O821" s="14">
        <v>1</v>
      </c>
      <c r="P821" s="15">
        <f t="shared" si="12"/>
        <v>100</v>
      </c>
      <c r="Q821" s="16">
        <v>44088</v>
      </c>
      <c r="R821" s="17">
        <v>9</v>
      </c>
      <c r="S821" s="13" t="s">
        <v>0</v>
      </c>
    </row>
    <row r="822" spans="1:19" x14ac:dyDescent="0.25">
      <c r="A822" s="13">
        <v>999931999</v>
      </c>
      <c r="B822" s="27" t="s">
        <v>254</v>
      </c>
      <c r="C822" s="28">
        <v>0</v>
      </c>
      <c r="D822" s="13">
        <v>681202</v>
      </c>
      <c r="E822" s="13" t="s">
        <v>2</v>
      </c>
      <c r="F822" s="13">
        <v>100</v>
      </c>
      <c r="G822" s="13">
        <v>100</v>
      </c>
      <c r="H822" s="13"/>
      <c r="I822" s="13"/>
      <c r="J822" s="13"/>
      <c r="K822" s="13">
        <v>100</v>
      </c>
      <c r="L822" s="23"/>
      <c r="M822" s="13" t="s">
        <v>23</v>
      </c>
      <c r="N822" s="13" t="str">
        <f>IFERROR(VLOOKUP($A:$A,[1]KION_IND_E_COM_LT!$A:$T,18,0),"")</f>
        <v/>
      </c>
      <c r="O822" s="14">
        <v>1</v>
      </c>
      <c r="P822" s="15">
        <f t="shared" si="12"/>
        <v>100</v>
      </c>
      <c r="Q822" s="16">
        <v>44088</v>
      </c>
      <c r="R822" s="17">
        <v>9</v>
      </c>
      <c r="S822" s="13" t="s">
        <v>0</v>
      </c>
    </row>
    <row r="823" spans="1:19" x14ac:dyDescent="0.25">
      <c r="A823" s="13">
        <v>999932192</v>
      </c>
      <c r="B823" s="27" t="s">
        <v>255</v>
      </c>
      <c r="C823" s="28">
        <v>2</v>
      </c>
      <c r="D823" s="13">
        <v>681202</v>
      </c>
      <c r="E823" s="13" t="s">
        <v>2</v>
      </c>
      <c r="F823" s="13">
        <v>100</v>
      </c>
      <c r="G823" s="13">
        <v>100</v>
      </c>
      <c r="H823" s="13"/>
      <c r="I823" s="13"/>
      <c r="J823" s="13"/>
      <c r="K823" s="13">
        <v>100</v>
      </c>
      <c r="L823" s="22" t="s">
        <v>21</v>
      </c>
      <c r="M823" s="13" t="s">
        <v>320</v>
      </c>
      <c r="N823" s="13">
        <f>IFERROR(VLOOKUP($A:$A,[1]KION_IND_E_COM_LT!$A:$T,18,0),"")</f>
        <v>0</v>
      </c>
      <c r="O823" s="14">
        <v>1</v>
      </c>
      <c r="P823" s="15">
        <f t="shared" si="12"/>
        <v>100</v>
      </c>
      <c r="Q823" s="16" t="s">
        <v>4</v>
      </c>
      <c r="R823" s="17">
        <v>3</v>
      </c>
      <c r="S823" s="13" t="s">
        <v>0</v>
      </c>
    </row>
    <row r="824" spans="1:19" x14ac:dyDescent="0.25">
      <c r="A824" s="13">
        <v>999932193</v>
      </c>
      <c r="B824" s="27" t="s">
        <v>255</v>
      </c>
      <c r="C824" s="28">
        <v>2</v>
      </c>
      <c r="D824" s="13">
        <v>681202</v>
      </c>
      <c r="E824" s="13" t="s">
        <v>2</v>
      </c>
      <c r="F824" s="13">
        <v>100</v>
      </c>
      <c r="G824" s="13">
        <v>100</v>
      </c>
      <c r="H824" s="13"/>
      <c r="I824" s="13"/>
      <c r="J824" s="13"/>
      <c r="K824" s="13">
        <v>100</v>
      </c>
      <c r="L824" s="22" t="s">
        <v>21</v>
      </c>
      <c r="M824" s="13" t="s">
        <v>320</v>
      </c>
      <c r="N824" s="13">
        <f>IFERROR(VLOOKUP($A:$A,[1]KION_IND_E_COM_LT!$A:$T,18,0),"")</f>
        <v>0</v>
      </c>
      <c r="O824" s="14">
        <v>1</v>
      </c>
      <c r="P824" s="15">
        <f t="shared" si="12"/>
        <v>100</v>
      </c>
      <c r="Q824" s="16">
        <v>44053</v>
      </c>
      <c r="R824" s="17">
        <v>4</v>
      </c>
      <c r="S824" s="13" t="s">
        <v>0</v>
      </c>
    </row>
    <row r="825" spans="1:19" x14ac:dyDescent="0.25">
      <c r="A825" s="13">
        <v>999932194</v>
      </c>
      <c r="B825" s="27" t="s">
        <v>255</v>
      </c>
      <c r="C825" s="28">
        <v>2</v>
      </c>
      <c r="D825" s="13">
        <v>681202</v>
      </c>
      <c r="E825" s="13" t="s">
        <v>2</v>
      </c>
      <c r="F825" s="13">
        <v>100</v>
      </c>
      <c r="G825" s="13">
        <v>100</v>
      </c>
      <c r="H825" s="13"/>
      <c r="I825" s="13"/>
      <c r="J825" s="13"/>
      <c r="K825" s="13">
        <v>100</v>
      </c>
      <c r="L825" s="22" t="s">
        <v>21</v>
      </c>
      <c r="M825" s="13" t="s">
        <v>320</v>
      </c>
      <c r="N825" s="13">
        <f>IFERROR(VLOOKUP($A:$A,[1]KION_IND_E_COM_LT!$A:$T,18,0),"")</f>
        <v>0</v>
      </c>
      <c r="O825" s="14">
        <v>1</v>
      </c>
      <c r="P825" s="15">
        <f t="shared" si="12"/>
        <v>100</v>
      </c>
      <c r="Q825" s="16">
        <v>44053</v>
      </c>
      <c r="R825" s="17">
        <v>4</v>
      </c>
      <c r="S825" s="13" t="s">
        <v>0</v>
      </c>
    </row>
    <row r="826" spans="1:19" x14ac:dyDescent="0.25">
      <c r="A826" s="13">
        <v>999932195</v>
      </c>
      <c r="B826" s="27" t="s">
        <v>255</v>
      </c>
      <c r="C826" s="28">
        <v>2</v>
      </c>
      <c r="D826" s="13">
        <v>681202</v>
      </c>
      <c r="E826" s="13" t="s">
        <v>2</v>
      </c>
      <c r="F826" s="13">
        <v>100</v>
      </c>
      <c r="G826" s="13">
        <v>100</v>
      </c>
      <c r="H826" s="13"/>
      <c r="I826" s="13"/>
      <c r="J826" s="13"/>
      <c r="K826" s="13">
        <v>100</v>
      </c>
      <c r="L826" s="22" t="s">
        <v>21</v>
      </c>
      <c r="M826" s="13" t="s">
        <v>320</v>
      </c>
      <c r="N826" s="13">
        <f>IFERROR(VLOOKUP($A:$A,[1]KION_IND_E_COM_LT!$A:$T,18,0),"")</f>
        <v>0</v>
      </c>
      <c r="O826" s="14">
        <v>1</v>
      </c>
      <c r="P826" s="15">
        <f t="shared" si="12"/>
        <v>100</v>
      </c>
      <c r="Q826" s="16">
        <v>44067</v>
      </c>
      <c r="R826" s="17">
        <v>6</v>
      </c>
      <c r="S826" s="13" t="s">
        <v>0</v>
      </c>
    </row>
    <row r="827" spans="1:19" x14ac:dyDescent="0.25">
      <c r="A827" s="13">
        <v>999932196</v>
      </c>
      <c r="B827" s="27" t="s">
        <v>255</v>
      </c>
      <c r="C827" s="28">
        <v>2</v>
      </c>
      <c r="D827" s="13">
        <v>681202</v>
      </c>
      <c r="E827" s="13" t="s">
        <v>2</v>
      </c>
      <c r="F827" s="13">
        <v>100</v>
      </c>
      <c r="G827" s="13">
        <v>100</v>
      </c>
      <c r="H827" s="13"/>
      <c r="I827" s="13"/>
      <c r="J827" s="13"/>
      <c r="K827" s="13">
        <v>100</v>
      </c>
      <c r="L827" s="22" t="s">
        <v>21</v>
      </c>
      <c r="M827" s="13" t="s">
        <v>320</v>
      </c>
      <c r="N827" s="13">
        <f>IFERROR(VLOOKUP($A:$A,[1]KION_IND_E_COM_LT!$A:$T,18,0),"")</f>
        <v>0</v>
      </c>
      <c r="O827" s="14">
        <v>1</v>
      </c>
      <c r="P827" s="15">
        <f t="shared" si="12"/>
        <v>100</v>
      </c>
      <c r="Q827" s="16">
        <v>44067</v>
      </c>
      <c r="R827" s="17">
        <v>6</v>
      </c>
      <c r="S827" s="13" t="s">
        <v>0</v>
      </c>
    </row>
    <row r="828" spans="1:19" x14ac:dyDescent="0.25">
      <c r="A828" s="13">
        <v>999932197</v>
      </c>
      <c r="B828" s="27" t="s">
        <v>255</v>
      </c>
      <c r="C828" s="28">
        <v>2</v>
      </c>
      <c r="D828" s="13">
        <v>681202</v>
      </c>
      <c r="E828" s="13" t="s">
        <v>2</v>
      </c>
      <c r="F828" s="13">
        <v>100</v>
      </c>
      <c r="G828" s="13">
        <v>100</v>
      </c>
      <c r="H828" s="13"/>
      <c r="I828" s="13"/>
      <c r="J828" s="13"/>
      <c r="K828" s="13">
        <v>100</v>
      </c>
      <c r="L828" s="22" t="s">
        <v>21</v>
      </c>
      <c r="M828" s="13" t="s">
        <v>320</v>
      </c>
      <c r="N828" s="13">
        <f>IFERROR(VLOOKUP($A:$A,[1]KION_IND_E_COM_LT!$A:$T,18,0),"")</f>
        <v>0</v>
      </c>
      <c r="O828" s="14">
        <v>1</v>
      </c>
      <c r="P828" s="15">
        <f t="shared" si="12"/>
        <v>100</v>
      </c>
      <c r="Q828" s="16">
        <v>44074</v>
      </c>
      <c r="R828" s="17">
        <v>7</v>
      </c>
      <c r="S828" s="13" t="s">
        <v>0</v>
      </c>
    </row>
    <row r="829" spans="1:19" x14ac:dyDescent="0.25">
      <c r="A829" s="13">
        <v>999932198</v>
      </c>
      <c r="B829" s="27" t="s">
        <v>255</v>
      </c>
      <c r="C829" s="28">
        <v>2</v>
      </c>
      <c r="D829" s="13">
        <v>681202</v>
      </c>
      <c r="E829" s="13" t="s">
        <v>2</v>
      </c>
      <c r="F829" s="13">
        <v>100</v>
      </c>
      <c r="G829" s="13">
        <v>100</v>
      </c>
      <c r="H829" s="13"/>
      <c r="I829" s="13"/>
      <c r="J829" s="13"/>
      <c r="K829" s="13">
        <v>100</v>
      </c>
      <c r="L829" s="22" t="s">
        <v>21</v>
      </c>
      <c r="M829" s="13" t="s">
        <v>320</v>
      </c>
      <c r="N829" s="13">
        <f>IFERROR(VLOOKUP($A:$A,[1]KION_IND_E_COM_LT!$A:$T,18,0),"")</f>
        <v>0</v>
      </c>
      <c r="O829" s="14">
        <v>1</v>
      </c>
      <c r="P829" s="15">
        <f t="shared" si="12"/>
        <v>100</v>
      </c>
      <c r="Q829" s="16">
        <v>44074</v>
      </c>
      <c r="R829" s="17">
        <v>7</v>
      </c>
      <c r="S829" s="13" t="s">
        <v>0</v>
      </c>
    </row>
    <row r="830" spans="1:19" x14ac:dyDescent="0.25">
      <c r="A830" s="13">
        <v>999932199</v>
      </c>
      <c r="B830" s="27" t="s">
        <v>255</v>
      </c>
      <c r="C830" s="28">
        <v>2</v>
      </c>
      <c r="D830" s="13">
        <v>681202</v>
      </c>
      <c r="E830" s="13" t="s">
        <v>2</v>
      </c>
      <c r="F830" s="13">
        <v>100</v>
      </c>
      <c r="G830" s="13">
        <v>100</v>
      </c>
      <c r="H830" s="13"/>
      <c r="I830" s="13"/>
      <c r="J830" s="13"/>
      <c r="K830" s="13">
        <v>100</v>
      </c>
      <c r="L830" s="22" t="s">
        <v>21</v>
      </c>
      <c r="M830" s="13" t="s">
        <v>320</v>
      </c>
      <c r="N830" s="13">
        <f>IFERROR(VLOOKUP($A:$A,[1]KION_IND_E_COM_LT!$A:$T,18,0),"")</f>
        <v>0</v>
      </c>
      <c r="O830" s="14">
        <v>1</v>
      </c>
      <c r="P830" s="15">
        <f t="shared" si="12"/>
        <v>100</v>
      </c>
      <c r="Q830" s="16">
        <v>44074</v>
      </c>
      <c r="R830" s="17">
        <v>7</v>
      </c>
      <c r="S830" s="13" t="s">
        <v>0</v>
      </c>
    </row>
    <row r="831" spans="1:19" x14ac:dyDescent="0.25">
      <c r="A831" s="13">
        <v>999932490</v>
      </c>
      <c r="B831" s="27" t="s">
        <v>258</v>
      </c>
      <c r="C831" s="28">
        <v>1</v>
      </c>
      <c r="D831" s="13">
        <v>681202</v>
      </c>
      <c r="E831" s="13" t="s">
        <v>2</v>
      </c>
      <c r="F831" s="13">
        <v>165</v>
      </c>
      <c r="G831" s="13">
        <v>100</v>
      </c>
      <c r="H831" s="13"/>
      <c r="I831" s="13">
        <v>100</v>
      </c>
      <c r="J831" s="13"/>
      <c r="K831" s="13">
        <v>0</v>
      </c>
      <c r="L831" s="22" t="s">
        <v>21</v>
      </c>
      <c r="M831" s="13" t="s">
        <v>320</v>
      </c>
      <c r="N831" s="13">
        <f>IFERROR(VLOOKUP($A:$A,[1]KION_IND_E_COM_LT!$A:$T,18,0),"")</f>
        <v>0</v>
      </c>
      <c r="O831" s="14"/>
      <c r="P831" s="15">
        <f t="shared" si="12"/>
        <v>0</v>
      </c>
      <c r="Q831" s="16"/>
      <c r="R831" s="17">
        <v>4</v>
      </c>
      <c r="S831" s="13" t="s">
        <v>0</v>
      </c>
    </row>
    <row r="832" spans="1:19" x14ac:dyDescent="0.25">
      <c r="A832" s="13">
        <v>999932492</v>
      </c>
      <c r="B832" s="27" t="s">
        <v>258</v>
      </c>
      <c r="C832" s="28">
        <v>1</v>
      </c>
      <c r="D832" s="13">
        <v>681202</v>
      </c>
      <c r="E832" s="13" t="s">
        <v>2</v>
      </c>
      <c r="F832" s="13">
        <v>100</v>
      </c>
      <c r="G832" s="13">
        <v>100</v>
      </c>
      <c r="H832" s="13"/>
      <c r="I832" s="13"/>
      <c r="J832" s="13"/>
      <c r="K832" s="13">
        <v>100</v>
      </c>
      <c r="L832" s="22" t="s">
        <v>21</v>
      </c>
      <c r="M832" s="13" t="s">
        <v>320</v>
      </c>
      <c r="N832" s="22" t="s">
        <v>64</v>
      </c>
      <c r="O832" s="14">
        <v>1</v>
      </c>
      <c r="P832" s="15">
        <f t="shared" si="12"/>
        <v>100</v>
      </c>
      <c r="Q832" s="16">
        <v>44053</v>
      </c>
      <c r="R832" s="17">
        <v>4</v>
      </c>
      <c r="S832" s="13" t="s">
        <v>0</v>
      </c>
    </row>
    <row r="833" spans="1:19" x14ac:dyDescent="0.25">
      <c r="A833" s="13">
        <v>999932493</v>
      </c>
      <c r="B833" s="27" t="s">
        <v>258</v>
      </c>
      <c r="C833" s="28">
        <v>1</v>
      </c>
      <c r="D833" s="13">
        <v>681202</v>
      </c>
      <c r="E833" s="13" t="s">
        <v>2</v>
      </c>
      <c r="F833" s="13">
        <v>100</v>
      </c>
      <c r="G833" s="13">
        <v>100</v>
      </c>
      <c r="H833" s="13"/>
      <c r="I833" s="13"/>
      <c r="J833" s="13"/>
      <c r="K833" s="13">
        <v>100</v>
      </c>
      <c r="L833" s="22" t="s">
        <v>21</v>
      </c>
      <c r="M833" s="13" t="s">
        <v>320</v>
      </c>
      <c r="N833" s="22" t="s">
        <v>64</v>
      </c>
      <c r="O833" s="14">
        <v>1</v>
      </c>
      <c r="P833" s="15">
        <f t="shared" si="12"/>
        <v>100</v>
      </c>
      <c r="Q833" s="16">
        <v>44053</v>
      </c>
      <c r="R833" s="17">
        <v>4</v>
      </c>
      <c r="S833" s="13" t="s">
        <v>0</v>
      </c>
    </row>
    <row r="834" spans="1:19" x14ac:dyDescent="0.25">
      <c r="A834" s="13">
        <v>999932494</v>
      </c>
      <c r="B834" s="27" t="s">
        <v>258</v>
      </c>
      <c r="C834" s="28">
        <v>1</v>
      </c>
      <c r="D834" s="13">
        <v>681202</v>
      </c>
      <c r="E834" s="13" t="s">
        <v>2</v>
      </c>
      <c r="F834" s="13">
        <v>100</v>
      </c>
      <c r="G834" s="13">
        <v>100</v>
      </c>
      <c r="H834" s="13"/>
      <c r="I834" s="13"/>
      <c r="J834" s="13"/>
      <c r="K834" s="13">
        <v>100</v>
      </c>
      <c r="L834" s="22" t="s">
        <v>21</v>
      </c>
      <c r="M834" s="13" t="s">
        <v>320</v>
      </c>
      <c r="N834" s="22" t="s">
        <v>64</v>
      </c>
      <c r="O834" s="14">
        <v>1</v>
      </c>
      <c r="P834" s="15">
        <f t="shared" si="12"/>
        <v>100</v>
      </c>
      <c r="Q834" s="16">
        <v>44067</v>
      </c>
      <c r="R834" s="17">
        <v>6</v>
      </c>
      <c r="S834" s="13" t="s">
        <v>0</v>
      </c>
    </row>
    <row r="835" spans="1:19" x14ac:dyDescent="0.25">
      <c r="A835" s="13">
        <v>999932495</v>
      </c>
      <c r="B835" s="27" t="s">
        <v>258</v>
      </c>
      <c r="C835" s="28">
        <v>1</v>
      </c>
      <c r="D835" s="13">
        <v>681202</v>
      </c>
      <c r="E835" s="13" t="s">
        <v>2</v>
      </c>
      <c r="F835" s="13">
        <v>100</v>
      </c>
      <c r="G835" s="13">
        <v>100</v>
      </c>
      <c r="H835" s="13"/>
      <c r="I835" s="13"/>
      <c r="J835" s="13"/>
      <c r="K835" s="13">
        <v>100</v>
      </c>
      <c r="L835" s="22" t="s">
        <v>21</v>
      </c>
      <c r="M835" s="13" t="s">
        <v>320</v>
      </c>
      <c r="N835" s="22" t="s">
        <v>64</v>
      </c>
      <c r="O835" s="14">
        <v>1</v>
      </c>
      <c r="P835" s="15">
        <f t="shared" ref="P835:P898" si="13">K835*O835</f>
        <v>100</v>
      </c>
      <c r="Q835" s="16">
        <v>44067</v>
      </c>
      <c r="R835" s="17">
        <v>6</v>
      </c>
      <c r="S835" s="13" t="s">
        <v>0</v>
      </c>
    </row>
    <row r="836" spans="1:19" x14ac:dyDescent="0.25">
      <c r="A836" s="13">
        <v>999932496</v>
      </c>
      <c r="B836" s="27" t="s">
        <v>258</v>
      </c>
      <c r="C836" s="28">
        <v>1</v>
      </c>
      <c r="D836" s="13">
        <v>681202</v>
      </c>
      <c r="E836" s="13" t="s">
        <v>2</v>
      </c>
      <c r="F836" s="13">
        <v>100</v>
      </c>
      <c r="G836" s="13">
        <v>100</v>
      </c>
      <c r="H836" s="13"/>
      <c r="I836" s="13"/>
      <c r="J836" s="13"/>
      <c r="K836" s="13">
        <v>100</v>
      </c>
      <c r="L836" s="22" t="s">
        <v>21</v>
      </c>
      <c r="M836" s="13" t="s">
        <v>320</v>
      </c>
      <c r="N836" s="22" t="s">
        <v>64</v>
      </c>
      <c r="O836" s="14">
        <v>1</v>
      </c>
      <c r="P836" s="15">
        <f t="shared" si="13"/>
        <v>100</v>
      </c>
      <c r="Q836" s="16">
        <v>44074</v>
      </c>
      <c r="R836" s="17">
        <v>7</v>
      </c>
      <c r="S836" s="13" t="s">
        <v>0</v>
      </c>
    </row>
    <row r="837" spans="1:19" x14ac:dyDescent="0.25">
      <c r="A837" s="13">
        <v>999932497</v>
      </c>
      <c r="B837" s="27" t="s">
        <v>258</v>
      </c>
      <c r="C837" s="28">
        <v>1</v>
      </c>
      <c r="D837" s="13">
        <v>681202</v>
      </c>
      <c r="E837" s="13" t="s">
        <v>2</v>
      </c>
      <c r="F837" s="13">
        <v>100</v>
      </c>
      <c r="G837" s="13">
        <v>100</v>
      </c>
      <c r="H837" s="13"/>
      <c r="I837" s="13"/>
      <c r="J837" s="13"/>
      <c r="K837" s="13">
        <v>100</v>
      </c>
      <c r="L837" s="22" t="s">
        <v>21</v>
      </c>
      <c r="M837" s="13" t="s">
        <v>320</v>
      </c>
      <c r="N837" s="22" t="s">
        <v>64</v>
      </c>
      <c r="O837" s="14">
        <v>1</v>
      </c>
      <c r="P837" s="15">
        <f t="shared" si="13"/>
        <v>100</v>
      </c>
      <c r="Q837" s="16">
        <v>44074</v>
      </c>
      <c r="R837" s="17">
        <v>7</v>
      </c>
      <c r="S837" s="13" t="s">
        <v>0</v>
      </c>
    </row>
    <row r="838" spans="1:19" x14ac:dyDescent="0.25">
      <c r="A838" s="13">
        <v>999932498</v>
      </c>
      <c r="B838" s="27" t="s">
        <v>258</v>
      </c>
      <c r="C838" s="28">
        <v>1</v>
      </c>
      <c r="D838" s="13">
        <v>681202</v>
      </c>
      <c r="E838" s="13" t="s">
        <v>2</v>
      </c>
      <c r="F838" s="13">
        <v>100</v>
      </c>
      <c r="G838" s="13">
        <v>100</v>
      </c>
      <c r="H838" s="13"/>
      <c r="I838" s="13"/>
      <c r="J838" s="13"/>
      <c r="K838" s="13">
        <v>100</v>
      </c>
      <c r="L838" s="22" t="s">
        <v>21</v>
      </c>
      <c r="M838" s="13" t="s">
        <v>320</v>
      </c>
      <c r="N838" s="22" t="s">
        <v>64</v>
      </c>
      <c r="O838" s="14">
        <v>1</v>
      </c>
      <c r="P838" s="15">
        <f t="shared" si="13"/>
        <v>100</v>
      </c>
      <c r="Q838" s="16">
        <v>44074</v>
      </c>
      <c r="R838" s="17">
        <v>7</v>
      </c>
      <c r="S838" s="13" t="s">
        <v>0</v>
      </c>
    </row>
    <row r="839" spans="1:19" x14ac:dyDescent="0.25">
      <c r="A839" s="13">
        <v>999932499</v>
      </c>
      <c r="B839" s="27" t="s">
        <v>258</v>
      </c>
      <c r="C839" s="28">
        <v>1</v>
      </c>
      <c r="D839" s="13">
        <v>681202</v>
      </c>
      <c r="E839" s="13" t="s">
        <v>2</v>
      </c>
      <c r="F839" s="13">
        <v>100</v>
      </c>
      <c r="G839" s="13">
        <v>100</v>
      </c>
      <c r="H839" s="13"/>
      <c r="I839" s="13"/>
      <c r="J839" s="13"/>
      <c r="K839" s="13">
        <v>100</v>
      </c>
      <c r="L839" s="22" t="s">
        <v>21</v>
      </c>
      <c r="M839" s="13" t="s">
        <v>57</v>
      </c>
      <c r="N839" s="13">
        <f>IFERROR(VLOOKUP($A:$A,[1]KION_IND_E_COM_LT!$A:$T,18,0),"")</f>
        <v>0</v>
      </c>
      <c r="O839" s="14">
        <v>1</v>
      </c>
      <c r="P839" s="15">
        <f t="shared" si="13"/>
        <v>100</v>
      </c>
      <c r="Q839" s="16">
        <v>44081</v>
      </c>
      <c r="R839" s="17">
        <v>8</v>
      </c>
      <c r="S839" s="13" t="s">
        <v>0</v>
      </c>
    </row>
    <row r="840" spans="1:19" x14ac:dyDescent="0.25">
      <c r="A840" s="13">
        <v>999932589</v>
      </c>
      <c r="B840" s="27" t="s">
        <v>259</v>
      </c>
      <c r="C840" s="28">
        <v>2</v>
      </c>
      <c r="D840" s="13">
        <v>681202</v>
      </c>
      <c r="E840" s="13" t="s">
        <v>2</v>
      </c>
      <c r="F840" s="13">
        <v>140</v>
      </c>
      <c r="G840" s="13">
        <v>140</v>
      </c>
      <c r="H840" s="13"/>
      <c r="I840" s="13"/>
      <c r="J840" s="13"/>
      <c r="K840" s="13">
        <v>140</v>
      </c>
      <c r="L840" s="22" t="s">
        <v>21</v>
      </c>
      <c r="M840" s="13" t="s">
        <v>320</v>
      </c>
      <c r="N840" s="13">
        <f>IFERROR(VLOOKUP($A:$A,[1]KION_IND_E_COM_LT!$A:$T,18,0),"")</f>
        <v>0</v>
      </c>
      <c r="O840" s="14">
        <v>1</v>
      </c>
      <c r="P840" s="15">
        <f t="shared" si="13"/>
        <v>140</v>
      </c>
      <c r="Q840" s="16">
        <v>44067</v>
      </c>
      <c r="R840" s="17">
        <v>6</v>
      </c>
      <c r="S840" s="13" t="s">
        <v>0</v>
      </c>
    </row>
    <row r="841" spans="1:19" x14ac:dyDescent="0.25">
      <c r="A841" s="13">
        <v>999932590</v>
      </c>
      <c r="B841" s="27" t="s">
        <v>259</v>
      </c>
      <c r="C841" s="28">
        <v>2</v>
      </c>
      <c r="D841" s="13">
        <v>681202</v>
      </c>
      <c r="E841" s="13" t="s">
        <v>2</v>
      </c>
      <c r="F841" s="13">
        <v>100</v>
      </c>
      <c r="G841" s="13">
        <v>100</v>
      </c>
      <c r="H841" s="13"/>
      <c r="I841" s="13"/>
      <c r="J841" s="13"/>
      <c r="K841" s="13">
        <v>100</v>
      </c>
      <c r="L841" s="22" t="s">
        <v>21</v>
      </c>
      <c r="M841" s="13" t="s">
        <v>320</v>
      </c>
      <c r="N841" s="13">
        <f>IFERROR(VLOOKUP($A:$A,[1]KION_IND_E_COM_LT!$A:$T,18,0),"")</f>
        <v>0</v>
      </c>
      <c r="O841" s="14">
        <v>1</v>
      </c>
      <c r="P841" s="15">
        <f t="shared" si="13"/>
        <v>100</v>
      </c>
      <c r="Q841" s="16">
        <v>44074</v>
      </c>
      <c r="R841" s="17">
        <v>7</v>
      </c>
      <c r="S841" s="13" t="s">
        <v>0</v>
      </c>
    </row>
    <row r="842" spans="1:19" x14ac:dyDescent="0.25">
      <c r="A842" s="13">
        <v>999932591</v>
      </c>
      <c r="B842" s="27" t="s">
        <v>259</v>
      </c>
      <c r="C842" s="28">
        <v>2</v>
      </c>
      <c r="D842" s="13">
        <v>681202</v>
      </c>
      <c r="E842" s="13" t="s">
        <v>2</v>
      </c>
      <c r="F842" s="13">
        <v>100</v>
      </c>
      <c r="G842" s="13">
        <v>100</v>
      </c>
      <c r="H842" s="13"/>
      <c r="I842" s="13"/>
      <c r="J842" s="13"/>
      <c r="K842" s="13">
        <v>100</v>
      </c>
      <c r="L842" s="22" t="s">
        <v>21</v>
      </c>
      <c r="M842" s="13" t="s">
        <v>320</v>
      </c>
      <c r="N842" s="13">
        <f>IFERROR(VLOOKUP($A:$A,[1]KION_IND_E_COM_LT!$A:$T,18,0),"")</f>
        <v>0</v>
      </c>
      <c r="O842" s="14">
        <v>1</v>
      </c>
      <c r="P842" s="15">
        <f t="shared" si="13"/>
        <v>100</v>
      </c>
      <c r="Q842" s="16">
        <v>44074</v>
      </c>
      <c r="R842" s="17">
        <v>7</v>
      </c>
      <c r="S842" s="13" t="s">
        <v>0</v>
      </c>
    </row>
    <row r="843" spans="1:19" x14ac:dyDescent="0.25">
      <c r="A843" s="13">
        <v>999932592</v>
      </c>
      <c r="B843" s="27" t="s">
        <v>259</v>
      </c>
      <c r="C843" s="28">
        <v>2</v>
      </c>
      <c r="D843" s="13">
        <v>681202</v>
      </c>
      <c r="E843" s="13" t="s">
        <v>2</v>
      </c>
      <c r="F843" s="13">
        <v>100</v>
      </c>
      <c r="G843" s="13">
        <v>100</v>
      </c>
      <c r="H843" s="13"/>
      <c r="I843" s="13"/>
      <c r="J843" s="13"/>
      <c r="K843" s="13">
        <v>100</v>
      </c>
      <c r="L843" s="22" t="s">
        <v>21</v>
      </c>
      <c r="M843" s="13" t="s">
        <v>27</v>
      </c>
      <c r="N843" s="13">
        <f>IFERROR(VLOOKUP($A:$A,[1]KION_IND_E_COM_LT!$A:$T,18,0),"")</f>
        <v>0</v>
      </c>
      <c r="O843" s="14">
        <v>1</v>
      </c>
      <c r="P843" s="15">
        <f t="shared" si="13"/>
        <v>100</v>
      </c>
      <c r="Q843" s="16">
        <v>44081</v>
      </c>
      <c r="R843" s="17">
        <v>8</v>
      </c>
      <c r="S843" s="13" t="s">
        <v>0</v>
      </c>
    </row>
    <row r="844" spans="1:19" x14ac:dyDescent="0.25">
      <c r="A844" s="13">
        <v>999932593</v>
      </c>
      <c r="B844" s="27" t="s">
        <v>259</v>
      </c>
      <c r="C844" s="28">
        <v>2</v>
      </c>
      <c r="D844" s="13">
        <v>681202</v>
      </c>
      <c r="E844" s="13" t="s">
        <v>2</v>
      </c>
      <c r="F844" s="13">
        <v>100</v>
      </c>
      <c r="G844" s="13">
        <v>100</v>
      </c>
      <c r="H844" s="13"/>
      <c r="I844" s="13"/>
      <c r="J844" s="13"/>
      <c r="K844" s="13">
        <v>100</v>
      </c>
      <c r="L844" s="23"/>
      <c r="M844" s="13" t="s">
        <v>23</v>
      </c>
      <c r="N844" s="13">
        <f>IFERROR(VLOOKUP($A:$A,[1]KION_IND_E_COM_LT!$A:$T,18,0),"")</f>
        <v>0</v>
      </c>
      <c r="O844" s="14">
        <v>1</v>
      </c>
      <c r="P844" s="15">
        <f t="shared" si="13"/>
        <v>100</v>
      </c>
      <c r="Q844" s="16">
        <v>44081</v>
      </c>
      <c r="R844" s="17">
        <v>8</v>
      </c>
      <c r="S844" s="13" t="s">
        <v>0</v>
      </c>
    </row>
    <row r="845" spans="1:19" x14ac:dyDescent="0.25">
      <c r="A845" s="13">
        <v>999932683</v>
      </c>
      <c r="B845" s="27" t="s">
        <v>260</v>
      </c>
      <c r="C845" s="28">
        <v>3</v>
      </c>
      <c r="D845" s="13">
        <v>681202</v>
      </c>
      <c r="E845" s="13" t="s">
        <v>2</v>
      </c>
      <c r="F845" s="13">
        <v>100</v>
      </c>
      <c r="G845" s="13">
        <v>100</v>
      </c>
      <c r="H845" s="13"/>
      <c r="I845" s="13">
        <v>100</v>
      </c>
      <c r="J845" s="13"/>
      <c r="K845" s="13">
        <v>0</v>
      </c>
      <c r="L845" s="22" t="s">
        <v>21</v>
      </c>
      <c r="M845" s="13" t="s">
        <v>320</v>
      </c>
      <c r="N845" s="13">
        <f>IFERROR(VLOOKUP($A:$A,[1]KION_IND_E_COM_LT!$A:$T,18,0),"")</f>
        <v>0</v>
      </c>
      <c r="O845" s="14"/>
      <c r="P845" s="15">
        <f t="shared" si="13"/>
        <v>0</v>
      </c>
      <c r="Q845" s="16"/>
      <c r="R845" s="17">
        <v>6</v>
      </c>
      <c r="S845" s="13" t="s">
        <v>0</v>
      </c>
    </row>
    <row r="846" spans="1:19" x14ac:dyDescent="0.25">
      <c r="A846" s="13">
        <v>999932685</v>
      </c>
      <c r="B846" s="27" t="s">
        <v>260</v>
      </c>
      <c r="C846" s="28">
        <v>3</v>
      </c>
      <c r="D846" s="13">
        <v>681202</v>
      </c>
      <c r="E846" s="13" t="s">
        <v>2</v>
      </c>
      <c r="F846" s="13">
        <v>150</v>
      </c>
      <c r="G846" s="13">
        <v>150</v>
      </c>
      <c r="H846" s="13"/>
      <c r="I846" s="13"/>
      <c r="J846" s="13"/>
      <c r="K846" s="13">
        <v>150</v>
      </c>
      <c r="L846" s="22" t="s">
        <v>21</v>
      </c>
      <c r="M846" s="13" t="s">
        <v>320</v>
      </c>
      <c r="N846" s="13">
        <f>IFERROR(VLOOKUP($A:$A,[1]KION_IND_E_COM_LT!$A:$T,18,0),"")</f>
        <v>0</v>
      </c>
      <c r="O846" s="14">
        <v>1</v>
      </c>
      <c r="P846" s="15">
        <f t="shared" si="13"/>
        <v>150</v>
      </c>
      <c r="Q846" s="16">
        <v>44067</v>
      </c>
      <c r="R846" s="17">
        <v>6</v>
      </c>
      <c r="S846" s="13" t="s">
        <v>0</v>
      </c>
    </row>
    <row r="847" spans="1:19" x14ac:dyDescent="0.25">
      <c r="A847" s="13">
        <v>999932686</v>
      </c>
      <c r="B847" s="27" t="s">
        <v>260</v>
      </c>
      <c r="C847" s="28">
        <v>3</v>
      </c>
      <c r="D847" s="13">
        <v>681202</v>
      </c>
      <c r="E847" s="13" t="s">
        <v>2</v>
      </c>
      <c r="F847" s="13">
        <v>100</v>
      </c>
      <c r="G847" s="13">
        <v>100</v>
      </c>
      <c r="H847" s="13"/>
      <c r="I847" s="13">
        <v>100</v>
      </c>
      <c r="J847" s="13"/>
      <c r="K847" s="13">
        <v>0</v>
      </c>
      <c r="L847" s="22" t="s">
        <v>21</v>
      </c>
      <c r="M847" s="13" t="s">
        <v>27</v>
      </c>
      <c r="N847" s="13">
        <f>IFERROR(VLOOKUP($A:$A,[1]KION_IND_E_COM_LT!$A:$T,18,0),"")</f>
        <v>0</v>
      </c>
      <c r="O847" s="14"/>
      <c r="P847" s="15">
        <f t="shared" si="13"/>
        <v>0</v>
      </c>
      <c r="Q847" s="16"/>
      <c r="R847" s="17">
        <v>6</v>
      </c>
      <c r="S847" s="13" t="s">
        <v>0</v>
      </c>
    </row>
    <row r="848" spans="1:19" x14ac:dyDescent="0.25">
      <c r="A848" s="13">
        <v>999932687</v>
      </c>
      <c r="B848" s="27" t="s">
        <v>260</v>
      </c>
      <c r="C848" s="28">
        <v>3</v>
      </c>
      <c r="D848" s="13">
        <v>681202</v>
      </c>
      <c r="E848" s="13" t="s">
        <v>2</v>
      </c>
      <c r="F848" s="13">
        <v>100</v>
      </c>
      <c r="G848" s="13">
        <v>100</v>
      </c>
      <c r="H848" s="13"/>
      <c r="I848" s="13"/>
      <c r="J848" s="13"/>
      <c r="K848" s="13">
        <v>100</v>
      </c>
      <c r="L848" s="22" t="s">
        <v>21</v>
      </c>
      <c r="M848" s="13" t="s">
        <v>320</v>
      </c>
      <c r="N848" s="13">
        <f>IFERROR(VLOOKUP($A:$A,[1]KION_IND_E_COM_LT!$A:$T,18,0),"")</f>
        <v>0</v>
      </c>
      <c r="O848" s="14">
        <v>1</v>
      </c>
      <c r="P848" s="15">
        <f t="shared" si="13"/>
        <v>100</v>
      </c>
      <c r="Q848" s="16">
        <v>44074</v>
      </c>
      <c r="R848" s="17">
        <v>7</v>
      </c>
      <c r="S848" s="13" t="s">
        <v>0</v>
      </c>
    </row>
    <row r="849" spans="1:19" x14ac:dyDescent="0.25">
      <c r="A849" s="13">
        <v>999932688</v>
      </c>
      <c r="B849" s="27" t="s">
        <v>260</v>
      </c>
      <c r="C849" s="28">
        <v>3</v>
      </c>
      <c r="D849" s="13">
        <v>681202</v>
      </c>
      <c r="E849" s="13" t="s">
        <v>2</v>
      </c>
      <c r="F849" s="13">
        <v>100</v>
      </c>
      <c r="G849" s="13">
        <v>100</v>
      </c>
      <c r="H849" s="13"/>
      <c r="I849" s="13"/>
      <c r="J849" s="13"/>
      <c r="K849" s="13">
        <v>100</v>
      </c>
      <c r="L849" s="22" t="s">
        <v>21</v>
      </c>
      <c r="M849" s="13" t="s">
        <v>320</v>
      </c>
      <c r="N849" s="13">
        <f>IFERROR(VLOOKUP($A:$A,[1]KION_IND_E_COM_LT!$A:$T,18,0),"")</f>
        <v>0</v>
      </c>
      <c r="O849" s="14">
        <v>1</v>
      </c>
      <c r="P849" s="15">
        <f t="shared" si="13"/>
        <v>100</v>
      </c>
      <c r="Q849" s="16">
        <v>44081</v>
      </c>
      <c r="R849" s="17">
        <v>8</v>
      </c>
      <c r="S849" s="13" t="s">
        <v>0</v>
      </c>
    </row>
    <row r="850" spans="1:19" x14ac:dyDescent="0.25">
      <c r="A850" s="13">
        <v>999932689</v>
      </c>
      <c r="B850" s="27" t="s">
        <v>260</v>
      </c>
      <c r="C850" s="28">
        <v>3</v>
      </c>
      <c r="D850" s="13">
        <v>681202</v>
      </c>
      <c r="E850" s="13" t="s">
        <v>2</v>
      </c>
      <c r="F850" s="13">
        <v>100</v>
      </c>
      <c r="G850" s="13">
        <v>100</v>
      </c>
      <c r="H850" s="13"/>
      <c r="I850" s="13"/>
      <c r="J850" s="13"/>
      <c r="K850" s="13">
        <v>100</v>
      </c>
      <c r="L850" s="22" t="s">
        <v>21</v>
      </c>
      <c r="M850" s="13" t="s">
        <v>320</v>
      </c>
      <c r="N850" s="13">
        <f>IFERROR(VLOOKUP($A:$A,[1]KION_IND_E_COM_LT!$A:$T,18,0),"")</f>
        <v>0</v>
      </c>
      <c r="O850" s="14">
        <v>1</v>
      </c>
      <c r="P850" s="15">
        <f t="shared" si="13"/>
        <v>100</v>
      </c>
      <c r="Q850" s="16">
        <v>44081</v>
      </c>
      <c r="R850" s="17">
        <v>8</v>
      </c>
      <c r="S850" s="13" t="s">
        <v>0</v>
      </c>
    </row>
    <row r="851" spans="1:19" x14ac:dyDescent="0.25">
      <c r="A851" s="13">
        <v>999932690</v>
      </c>
      <c r="B851" s="27" t="s">
        <v>260</v>
      </c>
      <c r="C851" s="28">
        <v>3</v>
      </c>
      <c r="D851" s="13">
        <v>681202</v>
      </c>
      <c r="E851" s="13" t="s">
        <v>2</v>
      </c>
      <c r="F851" s="13">
        <v>100</v>
      </c>
      <c r="G851" s="13">
        <v>100</v>
      </c>
      <c r="H851" s="13"/>
      <c r="I851" s="13"/>
      <c r="J851" s="13"/>
      <c r="K851" s="13">
        <v>100</v>
      </c>
      <c r="L851" s="22" t="s">
        <v>21</v>
      </c>
      <c r="M851" s="13" t="s">
        <v>320</v>
      </c>
      <c r="N851" s="13">
        <f>IFERROR(VLOOKUP($A:$A,[1]KION_IND_E_COM_LT!$A:$T,18,0),"")</f>
        <v>0</v>
      </c>
      <c r="O851" s="14">
        <v>1</v>
      </c>
      <c r="P851" s="15">
        <f t="shared" si="13"/>
        <v>100</v>
      </c>
      <c r="Q851" s="16">
        <v>44095</v>
      </c>
      <c r="R851" s="17">
        <v>10</v>
      </c>
      <c r="S851" s="13" t="s">
        <v>0</v>
      </c>
    </row>
    <row r="852" spans="1:19" x14ac:dyDescent="0.25">
      <c r="A852" s="13">
        <v>999932963</v>
      </c>
      <c r="B852" s="27" t="s">
        <v>261</v>
      </c>
      <c r="C852" s="28">
        <v>0</v>
      </c>
      <c r="D852" s="13">
        <v>681202</v>
      </c>
      <c r="E852" s="13" t="s">
        <v>2</v>
      </c>
      <c r="F852" s="13">
        <v>100</v>
      </c>
      <c r="G852" s="13">
        <v>100</v>
      </c>
      <c r="H852" s="13"/>
      <c r="I852" s="13"/>
      <c r="J852" s="13">
        <v>100</v>
      </c>
      <c r="K852" s="13">
        <v>0</v>
      </c>
      <c r="L852" s="23"/>
      <c r="M852" s="13" t="s">
        <v>23</v>
      </c>
      <c r="N852" s="13">
        <f>IFERROR(VLOOKUP($A:$A,[1]KION_IND_E_COM_LT!$A:$T,18,0),"")</f>
        <v>0</v>
      </c>
      <c r="O852" s="14"/>
      <c r="P852" s="15">
        <f t="shared" si="13"/>
        <v>0</v>
      </c>
      <c r="Q852" s="16"/>
      <c r="R852" s="17">
        <v>4</v>
      </c>
      <c r="S852" s="13" t="s">
        <v>0</v>
      </c>
    </row>
    <row r="853" spans="1:19" x14ac:dyDescent="0.25">
      <c r="A853" s="13">
        <v>999932964</v>
      </c>
      <c r="B853" s="27" t="s">
        <v>261</v>
      </c>
      <c r="C853" s="28">
        <v>0</v>
      </c>
      <c r="D853" s="13">
        <v>681202</v>
      </c>
      <c r="E853" s="13" t="s">
        <v>2</v>
      </c>
      <c r="F853" s="13">
        <v>100</v>
      </c>
      <c r="G853" s="13">
        <v>100</v>
      </c>
      <c r="H853" s="13"/>
      <c r="I853" s="13"/>
      <c r="J853" s="13">
        <v>100</v>
      </c>
      <c r="K853" s="13">
        <v>0</v>
      </c>
      <c r="L853" s="23"/>
      <c r="M853" s="13" t="s">
        <v>23</v>
      </c>
      <c r="N853" s="13">
        <f>IFERROR(VLOOKUP($A:$A,[1]KION_IND_E_COM_LT!$A:$T,18,0),"")</f>
        <v>0</v>
      </c>
      <c r="O853" s="14"/>
      <c r="P853" s="15">
        <f t="shared" si="13"/>
        <v>0</v>
      </c>
      <c r="Q853" s="16"/>
      <c r="R853" s="17">
        <v>4</v>
      </c>
      <c r="S853" s="13" t="s">
        <v>0</v>
      </c>
    </row>
    <row r="854" spans="1:19" x14ac:dyDescent="0.25">
      <c r="A854" s="13">
        <v>999932965</v>
      </c>
      <c r="B854" s="27" t="s">
        <v>261</v>
      </c>
      <c r="C854" s="28">
        <v>0</v>
      </c>
      <c r="D854" s="13">
        <v>681202</v>
      </c>
      <c r="E854" s="13" t="s">
        <v>2</v>
      </c>
      <c r="F854" s="13">
        <v>100</v>
      </c>
      <c r="G854" s="13">
        <v>100</v>
      </c>
      <c r="H854" s="13"/>
      <c r="I854" s="13"/>
      <c r="J854" s="13"/>
      <c r="K854" s="13">
        <v>100</v>
      </c>
      <c r="L854" s="22" t="s">
        <v>21</v>
      </c>
      <c r="M854" s="13" t="s">
        <v>26</v>
      </c>
      <c r="N854" s="13">
        <f>IFERROR(VLOOKUP($A:$A,[1]KION_IND_E_COM_LT!$A:$T,18,0),"")</f>
        <v>0</v>
      </c>
      <c r="O854" s="14">
        <v>1</v>
      </c>
      <c r="P854" s="15">
        <f t="shared" si="13"/>
        <v>100</v>
      </c>
      <c r="Q854" s="16">
        <v>44053</v>
      </c>
      <c r="R854" s="17">
        <v>4</v>
      </c>
      <c r="S854" s="13" t="s">
        <v>0</v>
      </c>
    </row>
    <row r="855" spans="1:19" x14ac:dyDescent="0.25">
      <c r="A855" s="13">
        <v>999932966</v>
      </c>
      <c r="B855" s="27" t="s">
        <v>261</v>
      </c>
      <c r="C855" s="28">
        <v>0</v>
      </c>
      <c r="D855" s="13">
        <v>681202</v>
      </c>
      <c r="E855" s="13" t="s">
        <v>2</v>
      </c>
      <c r="F855" s="13">
        <v>100</v>
      </c>
      <c r="G855" s="13">
        <v>100</v>
      </c>
      <c r="H855" s="13"/>
      <c r="I855" s="13"/>
      <c r="J855" s="13"/>
      <c r="K855" s="13">
        <v>100</v>
      </c>
      <c r="L855" s="22" t="s">
        <v>21</v>
      </c>
      <c r="M855" s="26" t="s">
        <v>27</v>
      </c>
      <c r="N855" s="13">
        <f>IFERROR(VLOOKUP($A:$A,[1]KION_IND_E_COM_LT!$A:$T,18,0),"")</f>
        <v>0</v>
      </c>
      <c r="O855" s="14">
        <v>1</v>
      </c>
      <c r="P855" s="15">
        <f t="shared" si="13"/>
        <v>100</v>
      </c>
      <c r="Q855" s="16">
        <v>44067</v>
      </c>
      <c r="R855" s="17">
        <v>6</v>
      </c>
      <c r="S855" s="13" t="s">
        <v>0</v>
      </c>
    </row>
    <row r="856" spans="1:19" x14ac:dyDescent="0.25">
      <c r="A856" s="13">
        <v>999932967</v>
      </c>
      <c r="B856" s="27" t="s">
        <v>261</v>
      </c>
      <c r="C856" s="28">
        <v>0</v>
      </c>
      <c r="D856" s="13">
        <v>681202</v>
      </c>
      <c r="E856" s="13" t="s">
        <v>2</v>
      </c>
      <c r="F856" s="13">
        <v>100</v>
      </c>
      <c r="G856" s="13">
        <v>100</v>
      </c>
      <c r="H856" s="13"/>
      <c r="I856" s="13"/>
      <c r="J856" s="13"/>
      <c r="K856" s="13">
        <v>100</v>
      </c>
      <c r="L856" s="22" t="s">
        <v>21</v>
      </c>
      <c r="M856" s="13" t="s">
        <v>27</v>
      </c>
      <c r="N856" s="13">
        <f>IFERROR(VLOOKUP($A:$A,[1]KION_IND_E_COM_LT!$A:$T,18,0),"")</f>
        <v>0</v>
      </c>
      <c r="O856" s="14">
        <v>1</v>
      </c>
      <c r="P856" s="15">
        <f t="shared" si="13"/>
        <v>100</v>
      </c>
      <c r="Q856" s="16">
        <v>44074</v>
      </c>
      <c r="R856" s="17">
        <v>7</v>
      </c>
      <c r="S856" s="13" t="s">
        <v>0</v>
      </c>
    </row>
    <row r="857" spans="1:19" x14ac:dyDescent="0.25">
      <c r="A857" s="13">
        <v>999932968</v>
      </c>
      <c r="B857" s="27" t="s">
        <v>261</v>
      </c>
      <c r="C857" s="28">
        <v>0</v>
      </c>
      <c r="D857" s="13">
        <v>681202</v>
      </c>
      <c r="E857" s="13" t="s">
        <v>2</v>
      </c>
      <c r="F857" s="13">
        <v>100</v>
      </c>
      <c r="G857" s="13">
        <v>100</v>
      </c>
      <c r="H857" s="13"/>
      <c r="I857" s="13"/>
      <c r="J857" s="13"/>
      <c r="K857" s="13">
        <v>100</v>
      </c>
      <c r="L857" s="22" t="s">
        <v>21</v>
      </c>
      <c r="M857" s="13" t="s">
        <v>27</v>
      </c>
      <c r="N857" s="13">
        <f>IFERROR(VLOOKUP($A:$A,[1]KION_IND_E_COM_LT!$A:$T,18,0),"")</f>
        <v>0</v>
      </c>
      <c r="O857" s="14">
        <v>1</v>
      </c>
      <c r="P857" s="15">
        <f t="shared" si="13"/>
        <v>100</v>
      </c>
      <c r="Q857" s="16">
        <v>44081</v>
      </c>
      <c r="R857" s="17">
        <v>8</v>
      </c>
      <c r="S857" s="13" t="s">
        <v>0</v>
      </c>
    </row>
    <row r="858" spans="1:19" x14ac:dyDescent="0.25">
      <c r="A858" s="13">
        <v>999933190</v>
      </c>
      <c r="B858" s="27" t="s">
        <v>262</v>
      </c>
      <c r="C858" s="28">
        <v>0</v>
      </c>
      <c r="D858" s="13">
        <v>681202</v>
      </c>
      <c r="E858" s="13" t="s">
        <v>2</v>
      </c>
      <c r="F858" s="13">
        <v>100</v>
      </c>
      <c r="G858" s="13">
        <v>100</v>
      </c>
      <c r="H858" s="13"/>
      <c r="I858" s="13">
        <v>100</v>
      </c>
      <c r="J858" s="13"/>
      <c r="K858" s="13">
        <v>0</v>
      </c>
      <c r="L858" s="22" t="s">
        <v>21</v>
      </c>
      <c r="M858" s="13" t="s">
        <v>32</v>
      </c>
      <c r="N858" s="13" t="str">
        <f>IFERROR(VLOOKUP($A:$A,[1]KION_IND_E_COM_LT!$A:$T,18,0),"")</f>
        <v>07/08 - A</v>
      </c>
      <c r="O858" s="14"/>
      <c r="P858" s="15">
        <f t="shared" si="13"/>
        <v>0</v>
      </c>
      <c r="Q858" s="16"/>
      <c r="R858" s="17">
        <v>4</v>
      </c>
      <c r="S858" s="13" t="s">
        <v>0</v>
      </c>
    </row>
    <row r="859" spans="1:19" x14ac:dyDescent="0.25">
      <c r="A859" s="13">
        <v>999933191</v>
      </c>
      <c r="B859" s="27" t="s">
        <v>262</v>
      </c>
      <c r="C859" s="28">
        <v>0</v>
      </c>
      <c r="D859" s="13">
        <v>681202</v>
      </c>
      <c r="E859" s="13" t="s">
        <v>2</v>
      </c>
      <c r="F859" s="13">
        <v>100</v>
      </c>
      <c r="G859" s="13">
        <v>100</v>
      </c>
      <c r="H859" s="13"/>
      <c r="I859" s="13"/>
      <c r="J859" s="13"/>
      <c r="K859" s="13">
        <v>100</v>
      </c>
      <c r="L859" s="22" t="s">
        <v>21</v>
      </c>
      <c r="M859" s="13" t="s">
        <v>320</v>
      </c>
      <c r="N859" s="22" t="s">
        <v>64</v>
      </c>
      <c r="O859" s="14">
        <v>1</v>
      </c>
      <c r="P859" s="15">
        <f t="shared" si="13"/>
        <v>100</v>
      </c>
      <c r="Q859" s="16">
        <v>44053</v>
      </c>
      <c r="R859" s="17">
        <v>4</v>
      </c>
      <c r="S859" s="13" t="s">
        <v>0</v>
      </c>
    </row>
    <row r="860" spans="1:19" x14ac:dyDescent="0.25">
      <c r="A860" s="13">
        <v>999933192</v>
      </c>
      <c r="B860" s="27" t="s">
        <v>262</v>
      </c>
      <c r="C860" s="28">
        <v>0</v>
      </c>
      <c r="D860" s="13">
        <v>681202</v>
      </c>
      <c r="E860" s="13" t="s">
        <v>2</v>
      </c>
      <c r="F860" s="13">
        <v>100</v>
      </c>
      <c r="G860" s="13">
        <v>100</v>
      </c>
      <c r="H860" s="13"/>
      <c r="I860" s="13"/>
      <c r="J860" s="13"/>
      <c r="K860" s="13">
        <v>100</v>
      </c>
      <c r="L860" s="22" t="s">
        <v>21</v>
      </c>
      <c r="M860" s="13" t="s">
        <v>320</v>
      </c>
      <c r="N860" s="22" t="s">
        <v>64</v>
      </c>
      <c r="O860" s="14">
        <v>1</v>
      </c>
      <c r="P860" s="15">
        <f t="shared" si="13"/>
        <v>100</v>
      </c>
      <c r="Q860" s="16">
        <v>44053</v>
      </c>
      <c r="R860" s="17">
        <v>4</v>
      </c>
      <c r="S860" s="13" t="s">
        <v>0</v>
      </c>
    </row>
    <row r="861" spans="1:19" x14ac:dyDescent="0.25">
      <c r="A861" s="13">
        <v>999933193</v>
      </c>
      <c r="B861" s="27" t="s">
        <v>262</v>
      </c>
      <c r="C861" s="28">
        <v>0</v>
      </c>
      <c r="D861" s="13">
        <v>681202</v>
      </c>
      <c r="E861" s="13" t="s">
        <v>2</v>
      </c>
      <c r="F861" s="13">
        <v>100</v>
      </c>
      <c r="G861" s="13">
        <v>100</v>
      </c>
      <c r="H861" s="13"/>
      <c r="I861" s="13"/>
      <c r="J861" s="13"/>
      <c r="K861" s="13">
        <v>100</v>
      </c>
      <c r="L861" s="22" t="s">
        <v>21</v>
      </c>
      <c r="M861" s="13" t="s">
        <v>320</v>
      </c>
      <c r="N861" s="13">
        <f>IFERROR(VLOOKUP($A:$A,[1]KION_IND_E_COM_LT!$A:$T,18,0),"")</f>
        <v>0</v>
      </c>
      <c r="O861" s="14">
        <v>1</v>
      </c>
      <c r="P861" s="15">
        <f t="shared" si="13"/>
        <v>100</v>
      </c>
      <c r="Q861" s="16">
        <v>44067</v>
      </c>
      <c r="R861" s="17">
        <v>6</v>
      </c>
      <c r="S861" s="13" t="s">
        <v>0</v>
      </c>
    </row>
    <row r="862" spans="1:19" x14ac:dyDescent="0.25">
      <c r="A862" s="13">
        <v>999933194</v>
      </c>
      <c r="B862" s="27" t="s">
        <v>262</v>
      </c>
      <c r="C862" s="28">
        <v>0</v>
      </c>
      <c r="D862" s="13">
        <v>681202</v>
      </c>
      <c r="E862" s="13" t="s">
        <v>2</v>
      </c>
      <c r="F862" s="13">
        <v>100</v>
      </c>
      <c r="G862" s="13">
        <v>100</v>
      </c>
      <c r="H862" s="13"/>
      <c r="I862" s="13"/>
      <c r="J862" s="13"/>
      <c r="K862" s="13">
        <v>100</v>
      </c>
      <c r="L862" s="22" t="s">
        <v>21</v>
      </c>
      <c r="M862" s="13" t="s">
        <v>320</v>
      </c>
      <c r="N862" s="13">
        <f>IFERROR(VLOOKUP($A:$A,[1]KION_IND_E_COM_LT!$A:$T,18,0),"")</f>
        <v>0</v>
      </c>
      <c r="O862" s="14">
        <v>1</v>
      </c>
      <c r="P862" s="15">
        <f t="shared" si="13"/>
        <v>100</v>
      </c>
      <c r="Q862" s="16">
        <v>44067</v>
      </c>
      <c r="R862" s="17">
        <v>6</v>
      </c>
      <c r="S862" s="13" t="s">
        <v>0</v>
      </c>
    </row>
    <row r="863" spans="1:19" x14ac:dyDescent="0.25">
      <c r="A863" s="13">
        <v>999933195</v>
      </c>
      <c r="B863" s="27" t="s">
        <v>262</v>
      </c>
      <c r="C863" s="28">
        <v>0</v>
      </c>
      <c r="D863" s="13">
        <v>681202</v>
      </c>
      <c r="E863" s="13" t="s">
        <v>2</v>
      </c>
      <c r="F863" s="13">
        <v>100</v>
      </c>
      <c r="G863" s="13">
        <v>100</v>
      </c>
      <c r="H863" s="13"/>
      <c r="I863" s="13"/>
      <c r="J863" s="13"/>
      <c r="K863" s="13">
        <v>100</v>
      </c>
      <c r="L863" s="22" t="s">
        <v>21</v>
      </c>
      <c r="M863" s="13" t="s">
        <v>320</v>
      </c>
      <c r="N863" s="13">
        <f>IFERROR(VLOOKUP($A:$A,[1]KION_IND_E_COM_LT!$A:$T,18,0),"")</f>
        <v>0</v>
      </c>
      <c r="O863" s="14">
        <v>1</v>
      </c>
      <c r="P863" s="15">
        <f t="shared" si="13"/>
        <v>100</v>
      </c>
      <c r="Q863" s="16">
        <v>44074</v>
      </c>
      <c r="R863" s="17">
        <v>7</v>
      </c>
      <c r="S863" s="13" t="s">
        <v>0</v>
      </c>
    </row>
    <row r="864" spans="1:19" x14ac:dyDescent="0.25">
      <c r="A864" s="13">
        <v>999933196</v>
      </c>
      <c r="B864" s="27" t="s">
        <v>262</v>
      </c>
      <c r="C864" s="28">
        <v>0</v>
      </c>
      <c r="D864" s="13">
        <v>681202</v>
      </c>
      <c r="E864" s="13" t="s">
        <v>2</v>
      </c>
      <c r="F864" s="13">
        <v>100</v>
      </c>
      <c r="G864" s="13">
        <v>100</v>
      </c>
      <c r="H864" s="13"/>
      <c r="I864" s="13"/>
      <c r="J864" s="13"/>
      <c r="K864" s="13">
        <v>100</v>
      </c>
      <c r="L864" s="22" t="s">
        <v>21</v>
      </c>
      <c r="M864" s="13" t="s">
        <v>320</v>
      </c>
      <c r="N864" s="13">
        <f>IFERROR(VLOOKUP($A:$A,[1]KION_IND_E_COM_LT!$A:$T,18,0),"")</f>
        <v>0</v>
      </c>
      <c r="O864" s="14">
        <v>1</v>
      </c>
      <c r="P864" s="15">
        <f t="shared" si="13"/>
        <v>100</v>
      </c>
      <c r="Q864" s="16">
        <v>44074</v>
      </c>
      <c r="R864" s="17">
        <v>7</v>
      </c>
      <c r="S864" s="13" t="s">
        <v>0</v>
      </c>
    </row>
    <row r="865" spans="1:19" x14ac:dyDescent="0.25">
      <c r="A865" s="13">
        <v>999933197</v>
      </c>
      <c r="B865" s="27" t="s">
        <v>262</v>
      </c>
      <c r="C865" s="28">
        <v>0</v>
      </c>
      <c r="D865" s="13">
        <v>681202</v>
      </c>
      <c r="E865" s="13" t="s">
        <v>2</v>
      </c>
      <c r="F865" s="13">
        <v>100</v>
      </c>
      <c r="G865" s="13">
        <v>100</v>
      </c>
      <c r="H865" s="13"/>
      <c r="I865" s="13"/>
      <c r="J865" s="13"/>
      <c r="K865" s="13">
        <v>100</v>
      </c>
      <c r="L865" s="22" t="s">
        <v>21</v>
      </c>
      <c r="M865" s="13" t="s">
        <v>320</v>
      </c>
      <c r="N865" s="13">
        <f>IFERROR(VLOOKUP($A:$A,[1]KION_IND_E_COM_LT!$A:$T,18,0),"")</f>
        <v>0</v>
      </c>
      <c r="O865" s="14">
        <v>1</v>
      </c>
      <c r="P865" s="15">
        <f t="shared" si="13"/>
        <v>100</v>
      </c>
      <c r="Q865" s="16">
        <v>44074</v>
      </c>
      <c r="R865" s="17">
        <v>7</v>
      </c>
      <c r="S865" s="13" t="s">
        <v>0</v>
      </c>
    </row>
    <row r="866" spans="1:19" x14ac:dyDescent="0.25">
      <c r="A866" s="13">
        <v>999933198</v>
      </c>
      <c r="B866" s="27" t="s">
        <v>262</v>
      </c>
      <c r="C866" s="28">
        <v>0</v>
      </c>
      <c r="D866" s="13">
        <v>681202</v>
      </c>
      <c r="E866" s="13" t="s">
        <v>2</v>
      </c>
      <c r="F866" s="13">
        <v>100</v>
      </c>
      <c r="G866" s="13">
        <v>100</v>
      </c>
      <c r="H866" s="13"/>
      <c r="I866" s="13"/>
      <c r="J866" s="13"/>
      <c r="K866" s="13">
        <v>100</v>
      </c>
      <c r="L866" s="22" t="s">
        <v>21</v>
      </c>
      <c r="M866" s="13" t="s">
        <v>27</v>
      </c>
      <c r="N866" s="13">
        <f>IFERROR(VLOOKUP($A:$A,[1]KION_IND_E_COM_LT!$A:$T,18,0),"")</f>
        <v>0</v>
      </c>
      <c r="O866" s="14">
        <v>1</v>
      </c>
      <c r="P866" s="15">
        <f t="shared" si="13"/>
        <v>100</v>
      </c>
      <c r="Q866" s="16">
        <v>44081</v>
      </c>
      <c r="R866" s="17">
        <v>8</v>
      </c>
      <c r="S866" s="13" t="s">
        <v>0</v>
      </c>
    </row>
    <row r="867" spans="1:19" x14ac:dyDescent="0.25">
      <c r="A867" s="13">
        <v>999933199</v>
      </c>
      <c r="B867" s="27" t="s">
        <v>262</v>
      </c>
      <c r="C867" s="28">
        <v>0</v>
      </c>
      <c r="D867" s="13">
        <v>681202</v>
      </c>
      <c r="E867" s="13" t="s">
        <v>2</v>
      </c>
      <c r="F867" s="13">
        <v>100</v>
      </c>
      <c r="G867" s="13">
        <v>100</v>
      </c>
      <c r="H867" s="13"/>
      <c r="I867" s="13"/>
      <c r="J867" s="13"/>
      <c r="K867" s="13">
        <v>100</v>
      </c>
      <c r="L867" s="23"/>
      <c r="M867" s="13" t="s">
        <v>23</v>
      </c>
      <c r="N867" s="13">
        <f>IFERROR(VLOOKUP($A:$A,[1]KION_IND_E_COM_LT!$A:$T,18,0),"")</f>
        <v>0</v>
      </c>
      <c r="O867" s="14">
        <v>1</v>
      </c>
      <c r="P867" s="15">
        <f t="shared" si="13"/>
        <v>100</v>
      </c>
      <c r="Q867" s="16">
        <v>44081</v>
      </c>
      <c r="R867" s="17">
        <v>8</v>
      </c>
      <c r="S867" s="13" t="s">
        <v>0</v>
      </c>
    </row>
    <row r="868" spans="1:19" x14ac:dyDescent="0.25">
      <c r="A868" s="13">
        <v>999956357</v>
      </c>
      <c r="B868" s="27" t="s">
        <v>263</v>
      </c>
      <c r="C868" s="28">
        <v>0</v>
      </c>
      <c r="D868" s="13">
        <v>681202</v>
      </c>
      <c r="E868" s="13" t="s">
        <v>2</v>
      </c>
      <c r="F868" s="13">
        <v>100</v>
      </c>
      <c r="G868" s="13">
        <v>100</v>
      </c>
      <c r="H868" s="13"/>
      <c r="I868" s="13"/>
      <c r="J868" s="13"/>
      <c r="K868" s="13">
        <v>100</v>
      </c>
      <c r="L868" s="22" t="s">
        <v>21</v>
      </c>
      <c r="M868" s="13" t="s">
        <v>320</v>
      </c>
      <c r="N868" s="13">
        <f>IFERROR(VLOOKUP($A:$A,[1]KION_IND_E_COM_LT!$A:$T,18,0),"")</f>
        <v>0</v>
      </c>
      <c r="O868" s="14">
        <v>1</v>
      </c>
      <c r="P868" s="15">
        <f t="shared" si="13"/>
        <v>100</v>
      </c>
      <c r="Q868" s="16" t="s">
        <v>4</v>
      </c>
      <c r="R868" s="17">
        <v>3</v>
      </c>
      <c r="S868" s="13" t="s">
        <v>0</v>
      </c>
    </row>
    <row r="869" spans="1:19" x14ac:dyDescent="0.25">
      <c r="A869" s="13">
        <v>999956358</v>
      </c>
      <c r="B869" s="27" t="s">
        <v>263</v>
      </c>
      <c r="C869" s="28">
        <v>0</v>
      </c>
      <c r="D869" s="13">
        <v>681202</v>
      </c>
      <c r="E869" s="13" t="s">
        <v>2</v>
      </c>
      <c r="F869" s="13">
        <v>100</v>
      </c>
      <c r="G869" s="13">
        <v>100</v>
      </c>
      <c r="H869" s="13"/>
      <c r="I869" s="13"/>
      <c r="J869" s="13"/>
      <c r="K869" s="13">
        <v>100</v>
      </c>
      <c r="L869" s="22" t="s">
        <v>21</v>
      </c>
      <c r="M869" s="13" t="s">
        <v>320</v>
      </c>
      <c r="N869" s="13">
        <f>IFERROR(VLOOKUP($A:$A,[1]KION_IND_E_COM_LT!$A:$T,18,0),"")</f>
        <v>0</v>
      </c>
      <c r="O869" s="14">
        <v>1</v>
      </c>
      <c r="P869" s="15">
        <f t="shared" si="13"/>
        <v>100</v>
      </c>
      <c r="Q869" s="16">
        <v>44053</v>
      </c>
      <c r="R869" s="17">
        <v>4</v>
      </c>
      <c r="S869" s="13" t="s">
        <v>0</v>
      </c>
    </row>
    <row r="870" spans="1:19" x14ac:dyDescent="0.25">
      <c r="A870" s="13">
        <v>999956359</v>
      </c>
      <c r="B870" s="27" t="s">
        <v>263</v>
      </c>
      <c r="C870" s="28">
        <v>0</v>
      </c>
      <c r="D870" s="13">
        <v>681202</v>
      </c>
      <c r="E870" s="13" t="s">
        <v>2</v>
      </c>
      <c r="F870" s="13">
        <v>100</v>
      </c>
      <c r="G870" s="13">
        <v>100</v>
      </c>
      <c r="H870" s="13"/>
      <c r="I870" s="13"/>
      <c r="J870" s="13"/>
      <c r="K870" s="13">
        <v>100</v>
      </c>
      <c r="L870" s="22" t="s">
        <v>21</v>
      </c>
      <c r="M870" s="13" t="s">
        <v>320</v>
      </c>
      <c r="N870" s="13">
        <f>IFERROR(VLOOKUP($A:$A,[1]KION_IND_E_COM_LT!$A:$T,18,0),"")</f>
        <v>0</v>
      </c>
      <c r="O870" s="14">
        <v>1</v>
      </c>
      <c r="P870" s="15">
        <f t="shared" si="13"/>
        <v>100</v>
      </c>
      <c r="Q870" s="16">
        <v>44053</v>
      </c>
      <c r="R870" s="17">
        <v>4</v>
      </c>
      <c r="S870" s="13" t="s">
        <v>0</v>
      </c>
    </row>
    <row r="871" spans="1:19" x14ac:dyDescent="0.25">
      <c r="A871" s="13">
        <v>999956360</v>
      </c>
      <c r="B871" s="27" t="s">
        <v>263</v>
      </c>
      <c r="C871" s="28">
        <v>0</v>
      </c>
      <c r="D871" s="13">
        <v>681202</v>
      </c>
      <c r="E871" s="13" t="s">
        <v>2</v>
      </c>
      <c r="F871" s="13">
        <v>100</v>
      </c>
      <c r="G871" s="13">
        <v>100</v>
      </c>
      <c r="H871" s="13"/>
      <c r="I871" s="13"/>
      <c r="J871" s="13"/>
      <c r="K871" s="13">
        <v>100</v>
      </c>
      <c r="L871" s="22" t="s">
        <v>21</v>
      </c>
      <c r="M871" s="13" t="s">
        <v>320</v>
      </c>
      <c r="N871" s="13">
        <f>IFERROR(VLOOKUP($A:$A,[1]KION_IND_E_COM_LT!$A:$T,18,0),"")</f>
        <v>0</v>
      </c>
      <c r="O871" s="14">
        <v>1</v>
      </c>
      <c r="P871" s="15">
        <f t="shared" si="13"/>
        <v>100</v>
      </c>
      <c r="Q871" s="16">
        <v>44067</v>
      </c>
      <c r="R871" s="17">
        <v>6</v>
      </c>
      <c r="S871" s="13" t="s">
        <v>0</v>
      </c>
    </row>
    <row r="872" spans="1:19" x14ac:dyDescent="0.25">
      <c r="A872" s="13">
        <v>999956361</v>
      </c>
      <c r="B872" s="27" t="s">
        <v>263</v>
      </c>
      <c r="C872" s="28">
        <v>0</v>
      </c>
      <c r="D872" s="13">
        <v>681202</v>
      </c>
      <c r="E872" s="13" t="s">
        <v>2</v>
      </c>
      <c r="F872" s="13">
        <v>100</v>
      </c>
      <c r="G872" s="13">
        <v>100</v>
      </c>
      <c r="H872" s="13"/>
      <c r="I872" s="13"/>
      <c r="J872" s="13"/>
      <c r="K872" s="13">
        <v>100</v>
      </c>
      <c r="L872" s="22" t="s">
        <v>21</v>
      </c>
      <c r="M872" s="13" t="s">
        <v>320</v>
      </c>
      <c r="N872" s="13">
        <f>IFERROR(VLOOKUP($A:$A,[1]KION_IND_E_COM_LT!$A:$T,18,0),"")</f>
        <v>0</v>
      </c>
      <c r="O872" s="14">
        <v>1</v>
      </c>
      <c r="P872" s="15">
        <f t="shared" si="13"/>
        <v>100</v>
      </c>
      <c r="Q872" s="16">
        <v>44067</v>
      </c>
      <c r="R872" s="17">
        <v>6</v>
      </c>
      <c r="S872" s="13" t="s">
        <v>0</v>
      </c>
    </row>
    <row r="873" spans="1:19" x14ac:dyDescent="0.25">
      <c r="A873" s="13">
        <v>999956362</v>
      </c>
      <c r="B873" s="27" t="s">
        <v>263</v>
      </c>
      <c r="C873" s="28">
        <v>0</v>
      </c>
      <c r="D873" s="13">
        <v>681202</v>
      </c>
      <c r="E873" s="13" t="s">
        <v>2</v>
      </c>
      <c r="F873" s="13">
        <v>100</v>
      </c>
      <c r="G873" s="13">
        <v>100</v>
      </c>
      <c r="H873" s="13"/>
      <c r="I873" s="13"/>
      <c r="J873" s="13"/>
      <c r="K873" s="13">
        <v>100</v>
      </c>
      <c r="L873" s="22" t="s">
        <v>21</v>
      </c>
      <c r="M873" s="13" t="s">
        <v>320</v>
      </c>
      <c r="N873" s="13">
        <f>IFERROR(VLOOKUP($A:$A,[1]KION_IND_E_COM_LT!$A:$T,18,0),"")</f>
        <v>0</v>
      </c>
      <c r="O873" s="14">
        <v>1</v>
      </c>
      <c r="P873" s="15">
        <f t="shared" si="13"/>
        <v>100</v>
      </c>
      <c r="Q873" s="16">
        <v>44074</v>
      </c>
      <c r="R873" s="17">
        <v>7</v>
      </c>
      <c r="S873" s="13" t="s">
        <v>0</v>
      </c>
    </row>
    <row r="874" spans="1:19" x14ac:dyDescent="0.25">
      <c r="A874" s="13">
        <v>999956363</v>
      </c>
      <c r="B874" s="27" t="s">
        <v>263</v>
      </c>
      <c r="C874" s="28">
        <v>0</v>
      </c>
      <c r="D874" s="13">
        <v>681202</v>
      </c>
      <c r="E874" s="13" t="s">
        <v>2</v>
      </c>
      <c r="F874" s="13">
        <v>100</v>
      </c>
      <c r="G874" s="13">
        <v>100</v>
      </c>
      <c r="H874" s="13"/>
      <c r="I874" s="13"/>
      <c r="J874" s="13"/>
      <c r="K874" s="13">
        <v>100</v>
      </c>
      <c r="L874" s="22" t="s">
        <v>21</v>
      </c>
      <c r="M874" s="13" t="s">
        <v>320</v>
      </c>
      <c r="N874" s="13">
        <f>IFERROR(VLOOKUP($A:$A,[1]KION_IND_E_COM_LT!$A:$T,18,0),"")</f>
        <v>0</v>
      </c>
      <c r="O874" s="14">
        <v>1</v>
      </c>
      <c r="P874" s="15">
        <f t="shared" si="13"/>
        <v>100</v>
      </c>
      <c r="Q874" s="16">
        <v>44074</v>
      </c>
      <c r="R874" s="17">
        <v>7</v>
      </c>
      <c r="S874" s="13" t="s">
        <v>0</v>
      </c>
    </row>
    <row r="875" spans="1:19" x14ac:dyDescent="0.25">
      <c r="A875" s="13">
        <v>999956364</v>
      </c>
      <c r="B875" s="27" t="s">
        <v>263</v>
      </c>
      <c r="C875" s="28">
        <v>0</v>
      </c>
      <c r="D875" s="13">
        <v>681202</v>
      </c>
      <c r="E875" s="13" t="s">
        <v>2</v>
      </c>
      <c r="F875" s="13">
        <v>100</v>
      </c>
      <c r="G875" s="13">
        <v>100</v>
      </c>
      <c r="H875" s="13"/>
      <c r="I875" s="13"/>
      <c r="J875" s="13"/>
      <c r="K875" s="13">
        <v>100</v>
      </c>
      <c r="L875" s="22" t="s">
        <v>21</v>
      </c>
      <c r="M875" s="13" t="s">
        <v>320</v>
      </c>
      <c r="N875" s="13">
        <f>IFERROR(VLOOKUP($A:$A,[1]KION_IND_E_COM_LT!$A:$T,18,0),"")</f>
        <v>0</v>
      </c>
      <c r="O875" s="14">
        <v>1</v>
      </c>
      <c r="P875" s="15">
        <f t="shared" si="13"/>
        <v>100</v>
      </c>
      <c r="Q875" s="16">
        <v>44081</v>
      </c>
      <c r="R875" s="17">
        <v>8</v>
      </c>
      <c r="S875" s="13" t="s">
        <v>0</v>
      </c>
    </row>
    <row r="876" spans="1:19" x14ac:dyDescent="0.25">
      <c r="A876" s="13">
        <v>999956365</v>
      </c>
      <c r="B876" s="27" t="s">
        <v>263</v>
      </c>
      <c r="C876" s="28">
        <v>0</v>
      </c>
      <c r="D876" s="13">
        <v>681202</v>
      </c>
      <c r="E876" s="13" t="s">
        <v>2</v>
      </c>
      <c r="F876" s="13">
        <v>100</v>
      </c>
      <c r="G876" s="13">
        <v>100</v>
      </c>
      <c r="H876" s="13"/>
      <c r="I876" s="13"/>
      <c r="J876" s="13"/>
      <c r="K876" s="13">
        <v>100</v>
      </c>
      <c r="L876" s="23"/>
      <c r="M876" s="13" t="s">
        <v>23</v>
      </c>
      <c r="N876" s="13">
        <f>IFERROR(VLOOKUP($A:$A,[1]KION_IND_E_COM_LT!$A:$T,18,0),"")</f>
        <v>0</v>
      </c>
      <c r="O876" s="14">
        <v>1</v>
      </c>
      <c r="P876" s="15">
        <f t="shared" si="13"/>
        <v>100</v>
      </c>
      <c r="Q876" s="16">
        <v>44081</v>
      </c>
      <c r="R876" s="17">
        <v>8</v>
      </c>
      <c r="S876" s="13" t="s">
        <v>0</v>
      </c>
    </row>
    <row r="877" spans="1:19" x14ac:dyDescent="0.25">
      <c r="A877" s="13">
        <v>999956366</v>
      </c>
      <c r="B877" s="27" t="s">
        <v>263</v>
      </c>
      <c r="C877" s="28">
        <v>0</v>
      </c>
      <c r="D877" s="13">
        <v>681202</v>
      </c>
      <c r="E877" s="13" t="s">
        <v>2</v>
      </c>
      <c r="F877" s="13">
        <v>100</v>
      </c>
      <c r="G877" s="13">
        <v>100</v>
      </c>
      <c r="H877" s="13"/>
      <c r="I877" s="13"/>
      <c r="J877" s="13"/>
      <c r="K877" s="13">
        <v>100</v>
      </c>
      <c r="L877" s="23"/>
      <c r="M877" s="13" t="s">
        <v>23</v>
      </c>
      <c r="N877" s="13" t="str">
        <f>IFERROR(VLOOKUP($A:$A,[1]KION_IND_E_COM_LT!$A:$T,18,0),"")</f>
        <v/>
      </c>
      <c r="O877" s="14">
        <v>1</v>
      </c>
      <c r="P877" s="15">
        <f t="shared" si="13"/>
        <v>100</v>
      </c>
      <c r="Q877" s="16">
        <v>44088</v>
      </c>
      <c r="R877" s="17">
        <v>9</v>
      </c>
      <c r="S877" s="13" t="s">
        <v>0</v>
      </c>
    </row>
    <row r="878" spans="1:19" x14ac:dyDescent="0.25">
      <c r="A878" s="13">
        <v>999956367</v>
      </c>
      <c r="B878" s="27" t="s">
        <v>263</v>
      </c>
      <c r="C878" s="28">
        <v>0</v>
      </c>
      <c r="D878" s="13">
        <v>681202</v>
      </c>
      <c r="E878" s="13" t="s">
        <v>2</v>
      </c>
      <c r="F878" s="13">
        <v>100</v>
      </c>
      <c r="G878" s="13">
        <v>100</v>
      </c>
      <c r="H878" s="13"/>
      <c r="I878" s="13"/>
      <c r="J878" s="13"/>
      <c r="K878" s="13">
        <v>100</v>
      </c>
      <c r="L878" s="23"/>
      <c r="M878" s="13" t="s">
        <v>23</v>
      </c>
      <c r="N878" s="13" t="str">
        <f>IFERROR(VLOOKUP($A:$A,[1]KION_IND_E_COM_LT!$A:$T,18,0),"")</f>
        <v/>
      </c>
      <c r="O878" s="14">
        <v>1</v>
      </c>
      <c r="P878" s="15">
        <f t="shared" si="13"/>
        <v>100</v>
      </c>
      <c r="Q878" s="16">
        <v>44088</v>
      </c>
      <c r="R878" s="17">
        <v>9</v>
      </c>
      <c r="S878" s="13" t="s">
        <v>0</v>
      </c>
    </row>
    <row r="879" spans="1:19" x14ac:dyDescent="0.25">
      <c r="A879" s="13">
        <v>1179000036</v>
      </c>
      <c r="B879" s="27" t="s">
        <v>315</v>
      </c>
      <c r="C879" s="28">
        <v>2</v>
      </c>
      <c r="D879" s="13">
        <v>681202</v>
      </c>
      <c r="E879" s="13" t="s">
        <v>2</v>
      </c>
      <c r="F879" s="13">
        <v>180</v>
      </c>
      <c r="G879" s="13">
        <v>180</v>
      </c>
      <c r="H879" s="13"/>
      <c r="I879" s="13"/>
      <c r="J879" s="13"/>
      <c r="K879" s="13">
        <v>180</v>
      </c>
      <c r="L879" s="22" t="s">
        <v>21</v>
      </c>
      <c r="M879" s="13" t="s">
        <v>23</v>
      </c>
      <c r="N879" s="13">
        <f>IFERROR(VLOOKUP($A:$A,[1]KION_IND_E_COM_LT!$A:$T,18,0),"")</f>
        <v>0</v>
      </c>
      <c r="O879" s="14">
        <v>1</v>
      </c>
      <c r="P879" s="15">
        <f t="shared" si="13"/>
        <v>180</v>
      </c>
      <c r="Q879" s="16">
        <v>44067</v>
      </c>
      <c r="R879" s="17">
        <v>6</v>
      </c>
      <c r="S879" s="13" t="s">
        <v>1</v>
      </c>
    </row>
    <row r="880" spans="1:19" x14ac:dyDescent="0.25">
      <c r="A880" s="13">
        <v>6297900153</v>
      </c>
      <c r="B880" s="27" t="s">
        <v>77</v>
      </c>
      <c r="C880" s="28">
        <v>2</v>
      </c>
      <c r="D880" s="13">
        <v>681202</v>
      </c>
      <c r="E880" s="13" t="s">
        <v>2</v>
      </c>
      <c r="F880" s="13">
        <v>100</v>
      </c>
      <c r="G880" s="13">
        <v>100</v>
      </c>
      <c r="H880" s="13"/>
      <c r="I880" s="13"/>
      <c r="J880" s="13">
        <v>100</v>
      </c>
      <c r="K880" s="13">
        <v>0</v>
      </c>
      <c r="L880" s="22" t="s">
        <v>21</v>
      </c>
      <c r="M880" s="13" t="s">
        <v>27</v>
      </c>
      <c r="N880" s="13">
        <f>IFERROR(VLOOKUP($A:$A,[1]KION_IND_E_COM_LT!$A:$T,18,0),"")</f>
        <v>0</v>
      </c>
      <c r="O880" s="14"/>
      <c r="P880" s="15">
        <f t="shared" si="13"/>
        <v>0</v>
      </c>
      <c r="Q880" s="16"/>
      <c r="R880" s="17" t="s">
        <v>3</v>
      </c>
      <c r="S880" s="13" t="s">
        <v>0</v>
      </c>
    </row>
    <row r="881" spans="1:19" x14ac:dyDescent="0.25">
      <c r="A881" s="13">
        <v>6297900154</v>
      </c>
      <c r="B881" s="27" t="s">
        <v>77</v>
      </c>
      <c r="C881" s="28">
        <v>2</v>
      </c>
      <c r="D881" s="13">
        <v>681202</v>
      </c>
      <c r="E881" s="13" t="s">
        <v>2</v>
      </c>
      <c r="F881" s="13">
        <v>100</v>
      </c>
      <c r="G881" s="13">
        <v>100</v>
      </c>
      <c r="H881" s="13"/>
      <c r="I881" s="13"/>
      <c r="J881" s="13"/>
      <c r="K881" s="13">
        <v>100</v>
      </c>
      <c r="L881" s="22" t="s">
        <v>21</v>
      </c>
      <c r="M881" s="13" t="s">
        <v>320</v>
      </c>
      <c r="N881" s="13">
        <f>IFERROR(VLOOKUP($A:$A,[1]KION_IND_E_COM_LT!$A:$T,18,0),"")</f>
        <v>0</v>
      </c>
      <c r="O881" s="14">
        <v>1</v>
      </c>
      <c r="P881" s="15">
        <f t="shared" si="13"/>
        <v>100</v>
      </c>
      <c r="Q881" s="16" t="s">
        <v>3</v>
      </c>
      <c r="R881" s="17" t="s">
        <v>3</v>
      </c>
      <c r="S881" s="13" t="s">
        <v>0</v>
      </c>
    </row>
    <row r="882" spans="1:19" x14ac:dyDescent="0.25">
      <c r="A882" s="13">
        <v>9999305169</v>
      </c>
      <c r="B882" s="27" t="s">
        <v>231</v>
      </c>
      <c r="C882" s="28">
        <v>1</v>
      </c>
      <c r="D882" s="13">
        <v>681202</v>
      </c>
      <c r="E882" s="13" t="s">
        <v>2</v>
      </c>
      <c r="F882" s="13">
        <v>100</v>
      </c>
      <c r="G882" s="13">
        <v>100</v>
      </c>
      <c r="H882" s="13"/>
      <c r="I882" s="13"/>
      <c r="J882" s="13">
        <v>100</v>
      </c>
      <c r="K882" s="13">
        <v>0</v>
      </c>
      <c r="L882" s="22" t="s">
        <v>21</v>
      </c>
      <c r="M882" s="13" t="s">
        <v>320</v>
      </c>
      <c r="N882" s="13">
        <f>IFERROR(VLOOKUP($A:$A,[1]KION_IND_E_COM_LT!$A:$T,18,0),"")</f>
        <v>0</v>
      </c>
      <c r="O882" s="14"/>
      <c r="P882" s="15">
        <f t="shared" si="13"/>
        <v>0</v>
      </c>
      <c r="Q882" s="16"/>
      <c r="R882" s="17">
        <v>7</v>
      </c>
      <c r="S882" s="13" t="s">
        <v>0</v>
      </c>
    </row>
    <row r="883" spans="1:19" x14ac:dyDescent="0.25">
      <c r="A883" s="13">
        <v>9999305170</v>
      </c>
      <c r="B883" s="27" t="s">
        <v>231</v>
      </c>
      <c r="C883" s="28">
        <v>1</v>
      </c>
      <c r="D883" s="13">
        <v>681202</v>
      </c>
      <c r="E883" s="13" t="s">
        <v>2</v>
      </c>
      <c r="F883" s="13">
        <v>100</v>
      </c>
      <c r="G883" s="13">
        <v>100</v>
      </c>
      <c r="H883" s="13"/>
      <c r="I883" s="13"/>
      <c r="J883" s="13">
        <v>100</v>
      </c>
      <c r="K883" s="13">
        <v>0</v>
      </c>
      <c r="L883" s="22" t="s">
        <v>21</v>
      </c>
      <c r="M883" s="13" t="s">
        <v>320</v>
      </c>
      <c r="N883" s="13">
        <f>IFERROR(VLOOKUP($A:$A,[1]KION_IND_E_COM_LT!$A:$T,18,0),"")</f>
        <v>0</v>
      </c>
      <c r="O883" s="14"/>
      <c r="P883" s="15">
        <f t="shared" si="13"/>
        <v>0</v>
      </c>
      <c r="Q883" s="16"/>
      <c r="R883" s="17">
        <v>7</v>
      </c>
      <c r="S883" s="13" t="s">
        <v>0</v>
      </c>
    </row>
    <row r="884" spans="1:19" x14ac:dyDescent="0.25">
      <c r="A884" s="13">
        <v>9999305171</v>
      </c>
      <c r="B884" s="27" t="s">
        <v>231</v>
      </c>
      <c r="C884" s="28">
        <v>1</v>
      </c>
      <c r="D884" s="13">
        <v>681202</v>
      </c>
      <c r="E884" s="13" t="s">
        <v>2</v>
      </c>
      <c r="F884" s="13">
        <v>100</v>
      </c>
      <c r="G884" s="13">
        <v>100</v>
      </c>
      <c r="H884" s="13"/>
      <c r="I884" s="13"/>
      <c r="J884" s="13">
        <v>100</v>
      </c>
      <c r="K884" s="13">
        <v>0</v>
      </c>
      <c r="L884" s="22" t="s">
        <v>21</v>
      </c>
      <c r="M884" s="13" t="s">
        <v>320</v>
      </c>
      <c r="N884" s="13">
        <f>IFERROR(VLOOKUP($A:$A,[1]KION_IND_E_COM_LT!$A:$T,18,0),"")</f>
        <v>0</v>
      </c>
      <c r="O884" s="14"/>
      <c r="P884" s="15">
        <f t="shared" si="13"/>
        <v>0</v>
      </c>
      <c r="Q884" s="16"/>
      <c r="R884" s="17">
        <v>7</v>
      </c>
      <c r="S884" s="13" t="s">
        <v>0</v>
      </c>
    </row>
    <row r="885" spans="1:19" x14ac:dyDescent="0.25">
      <c r="A885" s="13">
        <v>9999305172</v>
      </c>
      <c r="B885" s="27" t="s">
        <v>231</v>
      </c>
      <c r="C885" s="28">
        <v>1</v>
      </c>
      <c r="D885" s="13">
        <v>681202</v>
      </c>
      <c r="E885" s="13" t="s">
        <v>2</v>
      </c>
      <c r="F885" s="13">
        <v>100</v>
      </c>
      <c r="G885" s="13">
        <v>100</v>
      </c>
      <c r="H885" s="13"/>
      <c r="I885" s="13"/>
      <c r="J885" s="13">
        <v>100</v>
      </c>
      <c r="K885" s="13">
        <v>0</v>
      </c>
      <c r="L885" s="22" t="s">
        <v>21</v>
      </c>
      <c r="M885" s="13" t="s">
        <v>320</v>
      </c>
      <c r="N885" s="13">
        <f>IFERROR(VLOOKUP($A:$A,[1]KION_IND_E_COM_LT!$A:$T,18,0),"")</f>
        <v>0</v>
      </c>
      <c r="O885" s="14"/>
      <c r="P885" s="15">
        <f t="shared" si="13"/>
        <v>0</v>
      </c>
      <c r="Q885" s="16"/>
      <c r="R885" s="17">
        <v>7</v>
      </c>
      <c r="S885" s="13" t="s">
        <v>0</v>
      </c>
    </row>
    <row r="886" spans="1:19" x14ac:dyDescent="0.25">
      <c r="A886" s="13">
        <v>9999305173</v>
      </c>
      <c r="B886" s="27" t="s">
        <v>231</v>
      </c>
      <c r="C886" s="28">
        <v>1</v>
      </c>
      <c r="D886" s="13">
        <v>681202</v>
      </c>
      <c r="E886" s="13" t="s">
        <v>2</v>
      </c>
      <c r="F886" s="13">
        <v>100</v>
      </c>
      <c r="G886" s="13">
        <v>100</v>
      </c>
      <c r="H886" s="13"/>
      <c r="I886" s="13"/>
      <c r="J886" s="13">
        <v>100</v>
      </c>
      <c r="K886" s="13">
        <v>0</v>
      </c>
      <c r="L886" s="22" t="s">
        <v>21</v>
      </c>
      <c r="M886" s="13" t="s">
        <v>320</v>
      </c>
      <c r="N886" s="13">
        <f>IFERROR(VLOOKUP($A:$A,[1]KION_IND_E_COM_LT!$A:$T,18,0),"")</f>
        <v>0</v>
      </c>
      <c r="O886" s="14"/>
      <c r="P886" s="15">
        <f t="shared" si="13"/>
        <v>0</v>
      </c>
      <c r="Q886" s="16"/>
      <c r="R886" s="17">
        <v>7</v>
      </c>
      <c r="S886" s="13" t="s">
        <v>0</v>
      </c>
    </row>
    <row r="887" spans="1:19" x14ac:dyDescent="0.25">
      <c r="A887" s="13">
        <v>9999305174</v>
      </c>
      <c r="B887" s="27" t="s">
        <v>231</v>
      </c>
      <c r="C887" s="28">
        <v>1</v>
      </c>
      <c r="D887" s="13">
        <v>681202</v>
      </c>
      <c r="E887" s="13" t="s">
        <v>2</v>
      </c>
      <c r="F887" s="13">
        <v>100</v>
      </c>
      <c r="G887" s="13">
        <v>100</v>
      </c>
      <c r="H887" s="13"/>
      <c r="I887" s="13">
        <v>100</v>
      </c>
      <c r="J887" s="13"/>
      <c r="K887" s="13">
        <v>0</v>
      </c>
      <c r="L887" s="22" t="s">
        <v>21</v>
      </c>
      <c r="M887" s="13" t="s">
        <v>320</v>
      </c>
      <c r="N887" s="13" t="str">
        <f>IFERROR(VLOOKUP($A:$A,[1]KION_IND_E_COM_LT!$A:$T,18,0),"")</f>
        <v>10/08 - A</v>
      </c>
      <c r="O887" s="14"/>
      <c r="P887" s="15">
        <f t="shared" si="13"/>
        <v>0</v>
      </c>
      <c r="Q887" s="16"/>
      <c r="R887" s="17">
        <v>7</v>
      </c>
      <c r="S887" s="13" t="s">
        <v>0</v>
      </c>
    </row>
    <row r="888" spans="1:19" x14ac:dyDescent="0.25">
      <c r="A888" s="13">
        <v>9999305175</v>
      </c>
      <c r="B888" s="27" t="s">
        <v>231</v>
      </c>
      <c r="C888" s="28">
        <v>1</v>
      </c>
      <c r="D888" s="13">
        <v>681202</v>
      </c>
      <c r="E888" s="13" t="s">
        <v>2</v>
      </c>
      <c r="F888" s="13">
        <v>100</v>
      </c>
      <c r="G888" s="13">
        <v>100</v>
      </c>
      <c r="H888" s="13"/>
      <c r="I888" s="13">
        <v>100</v>
      </c>
      <c r="J888" s="13"/>
      <c r="K888" s="13">
        <v>0</v>
      </c>
      <c r="L888" s="22" t="s">
        <v>21</v>
      </c>
      <c r="M888" s="13" t="s">
        <v>320</v>
      </c>
      <c r="N888" s="13" t="str">
        <f>IFERROR(VLOOKUP($A:$A,[1]KION_IND_E_COM_LT!$A:$T,18,0),"")</f>
        <v>10/08 - A</v>
      </c>
      <c r="O888" s="14"/>
      <c r="P888" s="15">
        <f t="shared" si="13"/>
        <v>0</v>
      </c>
      <c r="Q888" s="16"/>
      <c r="R888" s="17">
        <v>7</v>
      </c>
      <c r="S888" s="13" t="s">
        <v>0</v>
      </c>
    </row>
    <row r="889" spans="1:19" x14ac:dyDescent="0.25">
      <c r="A889" s="13">
        <v>9999305176</v>
      </c>
      <c r="B889" s="27" t="s">
        <v>231</v>
      </c>
      <c r="C889" s="28">
        <v>1</v>
      </c>
      <c r="D889" s="13">
        <v>681202</v>
      </c>
      <c r="E889" s="13" t="s">
        <v>2</v>
      </c>
      <c r="F889" s="13">
        <v>100</v>
      </c>
      <c r="G889" s="13">
        <v>100</v>
      </c>
      <c r="H889" s="13"/>
      <c r="I889" s="13">
        <v>100</v>
      </c>
      <c r="J889" s="13"/>
      <c r="K889" s="13">
        <v>0</v>
      </c>
      <c r="L889" s="22" t="s">
        <v>21</v>
      </c>
      <c r="M889" s="13" t="s">
        <v>320</v>
      </c>
      <c r="N889" s="13" t="str">
        <f>IFERROR(VLOOKUP($A:$A,[1]KION_IND_E_COM_LT!$A:$T,18,0),"")</f>
        <v>10/08 - A</v>
      </c>
      <c r="O889" s="14"/>
      <c r="P889" s="15">
        <f t="shared" si="13"/>
        <v>0</v>
      </c>
      <c r="Q889" s="16"/>
      <c r="R889" s="17">
        <v>7</v>
      </c>
      <c r="S889" s="13" t="s">
        <v>0</v>
      </c>
    </row>
    <row r="890" spans="1:19" x14ac:dyDescent="0.25">
      <c r="A890" s="13">
        <v>9999305177</v>
      </c>
      <c r="B890" s="27" t="s">
        <v>231</v>
      </c>
      <c r="C890" s="28">
        <v>1</v>
      </c>
      <c r="D890" s="13">
        <v>681202</v>
      </c>
      <c r="E890" s="13" t="s">
        <v>2</v>
      </c>
      <c r="F890" s="13">
        <v>100</v>
      </c>
      <c r="G890" s="13">
        <v>100</v>
      </c>
      <c r="H890" s="13"/>
      <c r="I890" s="13">
        <v>100</v>
      </c>
      <c r="J890" s="13"/>
      <c r="K890" s="13">
        <v>0</v>
      </c>
      <c r="L890" s="22" t="s">
        <v>21</v>
      </c>
      <c r="M890" s="13" t="s">
        <v>320</v>
      </c>
      <c r="N890" s="13" t="str">
        <f>IFERROR(VLOOKUP($A:$A,[1]KION_IND_E_COM_LT!$A:$T,18,0),"")</f>
        <v>10/08 - A</v>
      </c>
      <c r="O890" s="14"/>
      <c r="P890" s="15">
        <f t="shared" si="13"/>
        <v>0</v>
      </c>
      <c r="Q890" s="16"/>
      <c r="R890" s="17">
        <v>7</v>
      </c>
      <c r="S890" s="13" t="s">
        <v>0</v>
      </c>
    </row>
    <row r="891" spans="1:19" x14ac:dyDescent="0.25">
      <c r="A891" s="13">
        <v>9999305178</v>
      </c>
      <c r="B891" s="27" t="s">
        <v>231</v>
      </c>
      <c r="C891" s="28">
        <v>1</v>
      </c>
      <c r="D891" s="13">
        <v>681202</v>
      </c>
      <c r="E891" s="13" t="s">
        <v>2</v>
      </c>
      <c r="F891" s="13">
        <v>100</v>
      </c>
      <c r="G891" s="13">
        <v>100</v>
      </c>
      <c r="H891" s="13"/>
      <c r="I891" s="13">
        <v>100</v>
      </c>
      <c r="J891" s="13"/>
      <c r="K891" s="13">
        <v>0</v>
      </c>
      <c r="L891" s="22" t="s">
        <v>21</v>
      </c>
      <c r="M891" s="13" t="s">
        <v>320</v>
      </c>
      <c r="N891" s="13" t="str">
        <f>IFERROR(VLOOKUP($A:$A,[1]KION_IND_E_COM_LT!$A:$T,18,0),"")</f>
        <v>10/08 - A</v>
      </c>
      <c r="O891" s="14"/>
      <c r="P891" s="15">
        <f t="shared" si="13"/>
        <v>0</v>
      </c>
      <c r="Q891" s="16"/>
      <c r="R891" s="17">
        <v>7</v>
      </c>
      <c r="S891" s="13" t="s">
        <v>0</v>
      </c>
    </row>
    <row r="892" spans="1:19" x14ac:dyDescent="0.25">
      <c r="A892" s="13">
        <v>9999305179</v>
      </c>
      <c r="B892" s="27" t="s">
        <v>231</v>
      </c>
      <c r="C892" s="28">
        <v>1</v>
      </c>
      <c r="D892" s="13">
        <v>681202</v>
      </c>
      <c r="E892" s="13" t="s">
        <v>2</v>
      </c>
      <c r="F892" s="13">
        <v>100</v>
      </c>
      <c r="G892" s="13">
        <v>100</v>
      </c>
      <c r="H892" s="13"/>
      <c r="I892" s="13"/>
      <c r="J892" s="13"/>
      <c r="K892" s="13">
        <v>100</v>
      </c>
      <c r="L892" s="22" t="s">
        <v>21</v>
      </c>
      <c r="M892" s="13" t="s">
        <v>320</v>
      </c>
      <c r="N892" s="13" t="str">
        <f>IFERROR(VLOOKUP($A:$A,[1]KION_IND_E_COM_LT!$A:$T,18,0),"")</f>
        <v>10/08 - A</v>
      </c>
      <c r="O892" s="14">
        <v>1</v>
      </c>
      <c r="P892" s="15">
        <f t="shared" si="13"/>
        <v>100</v>
      </c>
      <c r="Q892" s="16">
        <v>44074</v>
      </c>
      <c r="R892" s="17">
        <v>7</v>
      </c>
      <c r="S892" s="13" t="s">
        <v>0</v>
      </c>
    </row>
    <row r="893" spans="1:19" x14ac:dyDescent="0.25">
      <c r="A893" s="13">
        <v>9999305180</v>
      </c>
      <c r="B893" s="27" t="s">
        <v>231</v>
      </c>
      <c r="C893" s="28">
        <v>1</v>
      </c>
      <c r="D893" s="13">
        <v>681202</v>
      </c>
      <c r="E893" s="13" t="s">
        <v>2</v>
      </c>
      <c r="F893" s="13">
        <v>100</v>
      </c>
      <c r="G893" s="13">
        <v>100</v>
      </c>
      <c r="H893" s="13"/>
      <c r="I893" s="13"/>
      <c r="J893" s="13"/>
      <c r="K893" s="13">
        <v>100</v>
      </c>
      <c r="L893" s="22" t="s">
        <v>21</v>
      </c>
      <c r="M893" s="13" t="s">
        <v>320</v>
      </c>
      <c r="N893" s="13" t="str">
        <f>IFERROR(VLOOKUP($A:$A,[1]KION_IND_E_COM_LT!$A:$T,18,0),"")</f>
        <v>10/08 - A</v>
      </c>
      <c r="O893" s="14">
        <v>1</v>
      </c>
      <c r="P893" s="15">
        <f t="shared" si="13"/>
        <v>100</v>
      </c>
      <c r="Q893" s="16">
        <v>44074</v>
      </c>
      <c r="R893" s="17">
        <v>7</v>
      </c>
      <c r="S893" s="13" t="s">
        <v>0</v>
      </c>
    </row>
    <row r="894" spans="1:19" x14ac:dyDescent="0.25">
      <c r="A894" s="13">
        <v>9999305181</v>
      </c>
      <c r="B894" s="27" t="s">
        <v>231</v>
      </c>
      <c r="C894" s="28">
        <v>1</v>
      </c>
      <c r="D894" s="13">
        <v>681202</v>
      </c>
      <c r="E894" s="13" t="s">
        <v>2</v>
      </c>
      <c r="F894" s="13">
        <v>100</v>
      </c>
      <c r="G894" s="13">
        <v>100</v>
      </c>
      <c r="H894" s="13"/>
      <c r="I894" s="13"/>
      <c r="J894" s="13"/>
      <c r="K894" s="13">
        <v>100</v>
      </c>
      <c r="L894" s="22" t="s">
        <v>21</v>
      </c>
      <c r="M894" s="13" t="s">
        <v>320</v>
      </c>
      <c r="N894" s="13" t="str">
        <f>IFERROR(VLOOKUP($A:$A,[1]KION_IND_E_COM_LT!$A:$T,18,0),"")</f>
        <v>10/08 - A</v>
      </c>
      <c r="O894" s="14">
        <v>1</v>
      </c>
      <c r="P894" s="15">
        <f t="shared" si="13"/>
        <v>100</v>
      </c>
      <c r="Q894" s="16">
        <v>44074</v>
      </c>
      <c r="R894" s="17">
        <v>7</v>
      </c>
      <c r="S894" s="13" t="s">
        <v>0</v>
      </c>
    </row>
    <row r="895" spans="1:19" x14ac:dyDescent="0.25">
      <c r="A895" s="13">
        <v>9999305182</v>
      </c>
      <c r="B895" s="27" t="s">
        <v>231</v>
      </c>
      <c r="C895" s="28">
        <v>1</v>
      </c>
      <c r="D895" s="13">
        <v>681202</v>
      </c>
      <c r="E895" s="13" t="s">
        <v>2</v>
      </c>
      <c r="F895" s="13">
        <v>100</v>
      </c>
      <c r="G895" s="13">
        <v>100</v>
      </c>
      <c r="H895" s="13"/>
      <c r="I895" s="13"/>
      <c r="J895" s="13"/>
      <c r="K895" s="13">
        <v>100</v>
      </c>
      <c r="L895" s="22" t="s">
        <v>21</v>
      </c>
      <c r="M895" s="13" t="s">
        <v>320</v>
      </c>
      <c r="N895" s="13" t="str">
        <f>IFERROR(VLOOKUP($A:$A,[1]KION_IND_E_COM_LT!$A:$T,18,0),"")</f>
        <v>10/08 - A</v>
      </c>
      <c r="O895" s="14">
        <v>1</v>
      </c>
      <c r="P895" s="15">
        <f t="shared" si="13"/>
        <v>100</v>
      </c>
      <c r="Q895" s="16">
        <v>44074</v>
      </c>
      <c r="R895" s="17">
        <v>7</v>
      </c>
      <c r="S895" s="13" t="s">
        <v>0</v>
      </c>
    </row>
    <row r="896" spans="1:19" x14ac:dyDescent="0.25">
      <c r="A896" s="13">
        <v>9999305183</v>
      </c>
      <c r="B896" s="27" t="s">
        <v>231</v>
      </c>
      <c r="C896" s="28">
        <v>1</v>
      </c>
      <c r="D896" s="13">
        <v>681202</v>
      </c>
      <c r="E896" s="13" t="s">
        <v>2</v>
      </c>
      <c r="F896" s="13">
        <v>100</v>
      </c>
      <c r="G896" s="13">
        <v>100</v>
      </c>
      <c r="H896" s="13"/>
      <c r="I896" s="13"/>
      <c r="J896" s="13"/>
      <c r="K896" s="13">
        <v>100</v>
      </c>
      <c r="L896" s="22" t="s">
        <v>21</v>
      </c>
      <c r="M896" s="13" t="s">
        <v>320</v>
      </c>
      <c r="N896" s="13" t="str">
        <f>IFERROR(VLOOKUP($A:$A,[1]KION_IND_E_COM_LT!$A:$T,18,0),"")</f>
        <v>10/08 - A</v>
      </c>
      <c r="O896" s="14">
        <v>1</v>
      </c>
      <c r="P896" s="15">
        <f t="shared" si="13"/>
        <v>100</v>
      </c>
      <c r="Q896" s="16">
        <v>44081</v>
      </c>
      <c r="R896" s="17">
        <v>8</v>
      </c>
      <c r="S896" s="13" t="s">
        <v>0</v>
      </c>
    </row>
    <row r="897" spans="1:19" x14ac:dyDescent="0.25">
      <c r="A897" s="13">
        <v>9999305184</v>
      </c>
      <c r="B897" s="27" t="s">
        <v>231</v>
      </c>
      <c r="C897" s="28">
        <v>1</v>
      </c>
      <c r="D897" s="13">
        <v>681202</v>
      </c>
      <c r="E897" s="13" t="s">
        <v>2</v>
      </c>
      <c r="F897" s="13">
        <v>100</v>
      </c>
      <c r="G897" s="13">
        <v>100</v>
      </c>
      <c r="H897" s="13"/>
      <c r="I897" s="13"/>
      <c r="J897" s="13"/>
      <c r="K897" s="13">
        <v>100</v>
      </c>
      <c r="L897" s="22" t="s">
        <v>21</v>
      </c>
      <c r="M897" s="13" t="s">
        <v>320</v>
      </c>
      <c r="N897" s="13" t="str">
        <f>IFERROR(VLOOKUP($A:$A,[1]KION_IND_E_COM_LT!$A:$T,18,0),"")</f>
        <v>10/08 - A</v>
      </c>
      <c r="O897" s="14">
        <v>1</v>
      </c>
      <c r="P897" s="15">
        <f t="shared" si="13"/>
        <v>100</v>
      </c>
      <c r="Q897" s="16">
        <v>44081</v>
      </c>
      <c r="R897" s="17">
        <v>8</v>
      </c>
      <c r="S897" s="13" t="s">
        <v>0</v>
      </c>
    </row>
    <row r="898" spans="1:19" x14ac:dyDescent="0.25">
      <c r="A898" s="13">
        <v>9999305185</v>
      </c>
      <c r="B898" s="27" t="s">
        <v>231</v>
      </c>
      <c r="C898" s="28">
        <v>1</v>
      </c>
      <c r="D898" s="13">
        <v>681202</v>
      </c>
      <c r="E898" s="13" t="s">
        <v>2</v>
      </c>
      <c r="F898" s="13">
        <v>100</v>
      </c>
      <c r="G898" s="13">
        <v>100</v>
      </c>
      <c r="H898" s="13"/>
      <c r="I898" s="13"/>
      <c r="J898" s="13"/>
      <c r="K898" s="13">
        <v>100</v>
      </c>
      <c r="L898" s="23"/>
      <c r="M898" s="13" t="s">
        <v>23</v>
      </c>
      <c r="N898" s="13">
        <f>IFERROR(VLOOKUP($A:$A,[1]KION_IND_E_COM_LT!$A:$T,18,0),"")</f>
        <v>0</v>
      </c>
      <c r="O898" s="14">
        <v>1</v>
      </c>
      <c r="P898" s="15">
        <f t="shared" si="13"/>
        <v>100</v>
      </c>
      <c r="Q898" s="16">
        <v>44081</v>
      </c>
      <c r="R898" s="17">
        <v>8</v>
      </c>
      <c r="S898" s="13" t="s">
        <v>0</v>
      </c>
    </row>
    <row r="899" spans="1:19" x14ac:dyDescent="0.25">
      <c r="A899" s="13">
        <v>9999305186</v>
      </c>
      <c r="B899" s="27" t="s">
        <v>231</v>
      </c>
      <c r="C899" s="28">
        <v>1</v>
      </c>
      <c r="D899" s="13">
        <v>681202</v>
      </c>
      <c r="E899" s="13" t="s">
        <v>2</v>
      </c>
      <c r="F899" s="13">
        <v>100</v>
      </c>
      <c r="G899" s="13">
        <v>100</v>
      </c>
      <c r="H899" s="13"/>
      <c r="I899" s="13"/>
      <c r="J899" s="13"/>
      <c r="K899" s="13">
        <v>100</v>
      </c>
      <c r="L899" s="23"/>
      <c r="M899" s="13" t="s">
        <v>23</v>
      </c>
      <c r="N899" s="13">
        <f>IFERROR(VLOOKUP($A:$A,[1]KION_IND_E_COM_LT!$A:$T,18,0),"")</f>
        <v>0</v>
      </c>
      <c r="O899" s="14">
        <v>1</v>
      </c>
      <c r="P899" s="15">
        <f t="shared" ref="P899:P962" si="14">K899*O899</f>
        <v>100</v>
      </c>
      <c r="Q899" s="16">
        <v>44081</v>
      </c>
      <c r="R899" s="17">
        <v>8</v>
      </c>
      <c r="S899" s="13" t="s">
        <v>0</v>
      </c>
    </row>
    <row r="900" spans="1:19" x14ac:dyDescent="0.25">
      <c r="A900" s="13">
        <v>9999305187</v>
      </c>
      <c r="B900" s="27" t="s">
        <v>231</v>
      </c>
      <c r="C900" s="28">
        <v>1</v>
      </c>
      <c r="D900" s="13">
        <v>681202</v>
      </c>
      <c r="E900" s="13" t="s">
        <v>2</v>
      </c>
      <c r="F900" s="13">
        <v>100</v>
      </c>
      <c r="G900" s="13">
        <v>100</v>
      </c>
      <c r="H900" s="13"/>
      <c r="I900" s="13"/>
      <c r="J900" s="13"/>
      <c r="K900" s="13">
        <v>100</v>
      </c>
      <c r="L900" s="23"/>
      <c r="M900" s="13" t="s">
        <v>23</v>
      </c>
      <c r="N900" s="13" t="str">
        <f>IFERROR(VLOOKUP($A:$A,[1]KION_IND_E_COM_LT!$A:$T,18,0),"")</f>
        <v/>
      </c>
      <c r="O900" s="14">
        <v>1</v>
      </c>
      <c r="P900" s="15">
        <f t="shared" si="14"/>
        <v>100</v>
      </c>
      <c r="Q900" s="16">
        <v>44088</v>
      </c>
      <c r="R900" s="17">
        <v>9</v>
      </c>
      <c r="S900" s="13" t="s">
        <v>0</v>
      </c>
    </row>
    <row r="901" spans="1:19" x14ac:dyDescent="0.25">
      <c r="A901" s="13">
        <v>9999305188</v>
      </c>
      <c r="B901" s="27" t="s">
        <v>231</v>
      </c>
      <c r="C901" s="28">
        <v>1</v>
      </c>
      <c r="D901" s="13">
        <v>681202</v>
      </c>
      <c r="E901" s="13" t="s">
        <v>2</v>
      </c>
      <c r="F901" s="13">
        <v>100</v>
      </c>
      <c r="G901" s="13">
        <v>100</v>
      </c>
      <c r="H901" s="13"/>
      <c r="I901" s="13"/>
      <c r="J901" s="13"/>
      <c r="K901" s="13">
        <v>100</v>
      </c>
      <c r="L901" s="23"/>
      <c r="M901" s="13" t="s">
        <v>23</v>
      </c>
      <c r="N901" s="13" t="str">
        <f>IFERROR(VLOOKUP($A:$A,[1]KION_IND_E_COM_LT!$A:$T,18,0),"")</f>
        <v/>
      </c>
      <c r="O901" s="14">
        <v>1</v>
      </c>
      <c r="P901" s="15">
        <f t="shared" si="14"/>
        <v>100</v>
      </c>
      <c r="Q901" s="16">
        <v>44088</v>
      </c>
      <c r="R901" s="17">
        <v>9</v>
      </c>
      <c r="S901" s="13" t="s">
        <v>0</v>
      </c>
    </row>
    <row r="902" spans="1:19" x14ac:dyDescent="0.25">
      <c r="A902" s="13">
        <v>9999305189</v>
      </c>
      <c r="B902" s="27" t="s">
        <v>231</v>
      </c>
      <c r="C902" s="28">
        <v>1</v>
      </c>
      <c r="D902" s="13">
        <v>681202</v>
      </c>
      <c r="E902" s="13" t="s">
        <v>2</v>
      </c>
      <c r="F902" s="13">
        <v>100</v>
      </c>
      <c r="G902" s="13">
        <v>100</v>
      </c>
      <c r="H902" s="13"/>
      <c r="I902" s="13"/>
      <c r="J902" s="13"/>
      <c r="K902" s="13">
        <v>100</v>
      </c>
      <c r="L902" s="23"/>
      <c r="M902" s="13" t="s">
        <v>23</v>
      </c>
      <c r="N902" s="13" t="str">
        <f>IFERROR(VLOOKUP($A:$A,[1]KION_IND_E_COM_LT!$A:$T,18,0),"")</f>
        <v/>
      </c>
      <c r="O902" s="14">
        <v>1</v>
      </c>
      <c r="P902" s="15">
        <f t="shared" si="14"/>
        <v>100</v>
      </c>
      <c r="Q902" s="16">
        <v>44088</v>
      </c>
      <c r="R902" s="17">
        <v>9</v>
      </c>
      <c r="S902" s="13" t="s">
        <v>0</v>
      </c>
    </row>
    <row r="903" spans="1:19" x14ac:dyDescent="0.25">
      <c r="A903" s="13">
        <v>9999305190</v>
      </c>
      <c r="B903" s="27" t="s">
        <v>231</v>
      </c>
      <c r="C903" s="28">
        <v>1</v>
      </c>
      <c r="D903" s="13">
        <v>681202</v>
      </c>
      <c r="E903" s="13" t="s">
        <v>2</v>
      </c>
      <c r="F903" s="13">
        <v>100</v>
      </c>
      <c r="G903" s="13">
        <v>100</v>
      </c>
      <c r="H903" s="13"/>
      <c r="I903" s="13"/>
      <c r="J903" s="13"/>
      <c r="K903" s="13">
        <v>100</v>
      </c>
      <c r="L903" s="23"/>
      <c r="M903" s="13" t="s">
        <v>23</v>
      </c>
      <c r="N903" s="13" t="str">
        <f>IFERROR(VLOOKUP($A:$A,[1]KION_IND_E_COM_LT!$A:$T,18,0),"")</f>
        <v/>
      </c>
      <c r="O903" s="14">
        <v>1</v>
      </c>
      <c r="P903" s="15">
        <f t="shared" si="14"/>
        <v>100</v>
      </c>
      <c r="Q903" s="16">
        <v>44088</v>
      </c>
      <c r="R903" s="17">
        <v>9</v>
      </c>
      <c r="S903" s="13" t="s">
        <v>0</v>
      </c>
    </row>
    <row r="904" spans="1:19" x14ac:dyDescent="0.25">
      <c r="A904" s="13">
        <v>9999308104</v>
      </c>
      <c r="B904" s="27" t="s">
        <v>239</v>
      </c>
      <c r="C904" s="28">
        <v>0</v>
      </c>
      <c r="D904" s="13">
        <v>681202</v>
      </c>
      <c r="E904" s="13" t="s">
        <v>2</v>
      </c>
      <c r="F904" s="13">
        <v>100</v>
      </c>
      <c r="G904" s="13">
        <v>100</v>
      </c>
      <c r="H904" s="13"/>
      <c r="I904" s="13"/>
      <c r="J904" s="13">
        <v>100</v>
      </c>
      <c r="K904" s="13">
        <v>0</v>
      </c>
      <c r="L904" s="22" t="s">
        <v>21</v>
      </c>
      <c r="M904" s="13" t="s">
        <v>320</v>
      </c>
      <c r="N904" s="13">
        <f>IFERROR(VLOOKUP($A:$A,[1]KION_IND_E_COM_LT!$A:$T,18,0),"")</f>
        <v>0</v>
      </c>
      <c r="O904" s="14"/>
      <c r="P904" s="15">
        <f t="shared" si="14"/>
        <v>0</v>
      </c>
      <c r="Q904" s="16"/>
      <c r="R904" s="17">
        <v>6</v>
      </c>
      <c r="S904" s="13" t="s">
        <v>0</v>
      </c>
    </row>
    <row r="905" spans="1:19" x14ac:dyDescent="0.25">
      <c r="A905" s="13">
        <v>9999308105</v>
      </c>
      <c r="B905" s="27" t="s">
        <v>239</v>
      </c>
      <c r="C905" s="28">
        <v>0</v>
      </c>
      <c r="D905" s="13">
        <v>681202</v>
      </c>
      <c r="E905" s="13" t="s">
        <v>2</v>
      </c>
      <c r="F905" s="13">
        <v>100</v>
      </c>
      <c r="G905" s="13">
        <v>100</v>
      </c>
      <c r="H905" s="13"/>
      <c r="I905" s="13"/>
      <c r="J905" s="13">
        <v>100</v>
      </c>
      <c r="K905" s="13">
        <v>0</v>
      </c>
      <c r="L905" s="22" t="s">
        <v>21</v>
      </c>
      <c r="M905" s="13" t="s">
        <v>320</v>
      </c>
      <c r="N905" s="13">
        <f>IFERROR(VLOOKUP($A:$A,[1]KION_IND_E_COM_LT!$A:$T,18,0),"")</f>
        <v>0</v>
      </c>
      <c r="O905" s="14"/>
      <c r="P905" s="15">
        <f t="shared" si="14"/>
        <v>0</v>
      </c>
      <c r="Q905" s="16"/>
      <c r="R905" s="17">
        <v>6</v>
      </c>
      <c r="S905" s="13" t="s">
        <v>0</v>
      </c>
    </row>
    <row r="906" spans="1:19" x14ac:dyDescent="0.25">
      <c r="A906" s="13">
        <v>9999308109</v>
      </c>
      <c r="B906" s="27" t="s">
        <v>239</v>
      </c>
      <c r="C906" s="28">
        <v>0</v>
      </c>
      <c r="D906" s="13">
        <v>681202</v>
      </c>
      <c r="E906" s="13" t="s">
        <v>2</v>
      </c>
      <c r="F906" s="13">
        <v>100</v>
      </c>
      <c r="G906" s="13">
        <v>100</v>
      </c>
      <c r="H906" s="13"/>
      <c r="I906" s="13"/>
      <c r="J906" s="13"/>
      <c r="K906" s="13">
        <v>100</v>
      </c>
      <c r="L906" s="22" t="s">
        <v>21</v>
      </c>
      <c r="M906" s="13" t="s">
        <v>320</v>
      </c>
      <c r="N906" s="22" t="s">
        <v>64</v>
      </c>
      <c r="O906" s="14">
        <v>1</v>
      </c>
      <c r="P906" s="15">
        <f t="shared" si="14"/>
        <v>100</v>
      </c>
      <c r="Q906" s="16">
        <v>44067</v>
      </c>
      <c r="R906" s="17">
        <v>6</v>
      </c>
      <c r="S906" s="13" t="s">
        <v>0</v>
      </c>
    </row>
    <row r="907" spans="1:19" x14ac:dyDescent="0.25">
      <c r="A907" s="13">
        <v>9999308110</v>
      </c>
      <c r="B907" s="27" t="s">
        <v>239</v>
      </c>
      <c r="C907" s="28">
        <v>0</v>
      </c>
      <c r="D907" s="13">
        <v>681202</v>
      </c>
      <c r="E907" s="13" t="s">
        <v>2</v>
      </c>
      <c r="F907" s="13">
        <v>100</v>
      </c>
      <c r="G907" s="13">
        <v>100</v>
      </c>
      <c r="H907" s="13"/>
      <c r="I907" s="13"/>
      <c r="J907" s="13"/>
      <c r="K907" s="13">
        <v>100</v>
      </c>
      <c r="L907" s="22" t="s">
        <v>21</v>
      </c>
      <c r="M907" s="13" t="s">
        <v>320</v>
      </c>
      <c r="N907" s="22" t="s">
        <v>64</v>
      </c>
      <c r="O907" s="14">
        <v>1</v>
      </c>
      <c r="P907" s="15">
        <f t="shared" si="14"/>
        <v>100</v>
      </c>
      <c r="Q907" s="16">
        <v>44074</v>
      </c>
      <c r="R907" s="17">
        <v>7</v>
      </c>
      <c r="S907" s="13" t="s">
        <v>0</v>
      </c>
    </row>
    <row r="908" spans="1:19" x14ac:dyDescent="0.25">
      <c r="A908" s="13">
        <v>9999308111</v>
      </c>
      <c r="B908" s="27" t="s">
        <v>239</v>
      </c>
      <c r="C908" s="28">
        <v>0</v>
      </c>
      <c r="D908" s="13">
        <v>681202</v>
      </c>
      <c r="E908" s="13" t="s">
        <v>2</v>
      </c>
      <c r="F908" s="13">
        <v>100</v>
      </c>
      <c r="G908" s="13">
        <v>100</v>
      </c>
      <c r="H908" s="13"/>
      <c r="I908" s="13"/>
      <c r="J908" s="13"/>
      <c r="K908" s="13">
        <v>100</v>
      </c>
      <c r="L908" s="22" t="s">
        <v>21</v>
      </c>
      <c r="M908" s="13" t="s">
        <v>320</v>
      </c>
      <c r="N908" s="22" t="s">
        <v>64</v>
      </c>
      <c r="O908" s="14">
        <v>1</v>
      </c>
      <c r="P908" s="15">
        <f t="shared" si="14"/>
        <v>100</v>
      </c>
      <c r="Q908" s="16">
        <v>44081</v>
      </c>
      <c r="R908" s="17">
        <v>8</v>
      </c>
      <c r="S908" s="13" t="s">
        <v>0</v>
      </c>
    </row>
    <row r="909" spans="1:19" x14ac:dyDescent="0.25">
      <c r="A909" s="13">
        <v>9999308112</v>
      </c>
      <c r="B909" s="27" t="s">
        <v>239</v>
      </c>
      <c r="C909" s="28">
        <v>0</v>
      </c>
      <c r="D909" s="13">
        <v>681202</v>
      </c>
      <c r="E909" s="13" t="s">
        <v>2</v>
      </c>
      <c r="F909" s="13">
        <v>100</v>
      </c>
      <c r="G909" s="13">
        <v>100</v>
      </c>
      <c r="H909" s="13"/>
      <c r="I909" s="13"/>
      <c r="J909" s="13"/>
      <c r="K909" s="13">
        <v>100</v>
      </c>
      <c r="L909" s="22" t="s">
        <v>21</v>
      </c>
      <c r="M909" s="13" t="s">
        <v>320</v>
      </c>
      <c r="N909" s="22" t="s">
        <v>64</v>
      </c>
      <c r="O909" s="14">
        <v>1</v>
      </c>
      <c r="P909" s="15">
        <f t="shared" si="14"/>
        <v>100</v>
      </c>
      <c r="Q909" s="16">
        <v>44081</v>
      </c>
      <c r="R909" s="17">
        <v>8</v>
      </c>
      <c r="S909" s="13" t="s">
        <v>0</v>
      </c>
    </row>
    <row r="910" spans="1:19" x14ac:dyDescent="0.25">
      <c r="A910" s="13">
        <v>9999316100</v>
      </c>
      <c r="B910" s="27" t="s">
        <v>249</v>
      </c>
      <c r="C910" s="28">
        <v>2</v>
      </c>
      <c r="D910" s="13">
        <v>681202</v>
      </c>
      <c r="E910" s="13" t="s">
        <v>2</v>
      </c>
      <c r="F910" s="13">
        <v>100</v>
      </c>
      <c r="G910" s="13">
        <v>100</v>
      </c>
      <c r="H910" s="13"/>
      <c r="I910" s="13"/>
      <c r="J910" s="13"/>
      <c r="K910" s="13">
        <v>100</v>
      </c>
      <c r="L910" s="23"/>
      <c r="M910" s="13" t="s">
        <v>23</v>
      </c>
      <c r="N910" s="13" t="str">
        <f>IFERROR(VLOOKUP($A:$A,[1]KION_IND_E_COM_LT!$A:$T,18,0),"")</f>
        <v/>
      </c>
      <c r="O910" s="14">
        <v>1</v>
      </c>
      <c r="P910" s="15">
        <f t="shared" si="14"/>
        <v>100</v>
      </c>
      <c r="Q910" s="16">
        <v>44088</v>
      </c>
      <c r="R910" s="17">
        <v>9</v>
      </c>
      <c r="S910" s="13" t="s">
        <v>0</v>
      </c>
    </row>
    <row r="911" spans="1:19" x14ac:dyDescent="0.25">
      <c r="A911" s="13">
        <v>9999321100</v>
      </c>
      <c r="B911" s="27" t="s">
        <v>255</v>
      </c>
      <c r="C911" s="28">
        <v>2</v>
      </c>
      <c r="D911" s="13">
        <v>681202</v>
      </c>
      <c r="E911" s="13" t="s">
        <v>2</v>
      </c>
      <c r="F911" s="13">
        <v>100</v>
      </c>
      <c r="G911" s="13">
        <v>100</v>
      </c>
      <c r="H911" s="13"/>
      <c r="I911" s="13"/>
      <c r="J911" s="13"/>
      <c r="K911" s="13">
        <v>100</v>
      </c>
      <c r="L911" s="22" t="s">
        <v>21</v>
      </c>
      <c r="M911" s="13" t="s">
        <v>320</v>
      </c>
      <c r="N911" s="13">
        <f>IFERROR(VLOOKUP($A:$A,[1]KION_IND_E_COM_LT!$A:$T,18,0),"")</f>
        <v>0</v>
      </c>
      <c r="O911" s="14">
        <v>1</v>
      </c>
      <c r="P911" s="15">
        <f t="shared" si="14"/>
        <v>100</v>
      </c>
      <c r="Q911" s="16">
        <v>44081</v>
      </c>
      <c r="R911" s="17">
        <v>8</v>
      </c>
      <c r="S911" s="13" t="s">
        <v>0</v>
      </c>
    </row>
    <row r="912" spans="1:19" x14ac:dyDescent="0.25">
      <c r="A912" s="13">
        <v>9999321101</v>
      </c>
      <c r="B912" s="27" t="s">
        <v>255</v>
      </c>
      <c r="C912" s="28">
        <v>2</v>
      </c>
      <c r="D912" s="13">
        <v>681202</v>
      </c>
      <c r="E912" s="13" t="s">
        <v>2</v>
      </c>
      <c r="F912" s="13">
        <v>100</v>
      </c>
      <c r="G912" s="13">
        <v>100</v>
      </c>
      <c r="H912" s="13"/>
      <c r="I912" s="13"/>
      <c r="J912" s="13"/>
      <c r="K912" s="13">
        <v>100</v>
      </c>
      <c r="L912" s="23"/>
      <c r="M912" s="13"/>
      <c r="N912" s="13">
        <f>IFERROR(VLOOKUP($A:$A,[1]KION_IND_E_COM_LT!$A:$T,18,0),"")</f>
        <v>0</v>
      </c>
      <c r="O912" s="14">
        <v>1</v>
      </c>
      <c r="P912" s="15">
        <f t="shared" si="14"/>
        <v>100</v>
      </c>
      <c r="Q912" s="16">
        <v>44081</v>
      </c>
      <c r="R912" s="17">
        <v>8</v>
      </c>
      <c r="S912" s="13" t="s">
        <v>0</v>
      </c>
    </row>
    <row r="913" spans="1:19" x14ac:dyDescent="0.25">
      <c r="A913" s="13">
        <v>9999321102</v>
      </c>
      <c r="B913" s="27" t="s">
        <v>255</v>
      </c>
      <c r="C913" s="28">
        <v>2</v>
      </c>
      <c r="D913" s="13">
        <v>681202</v>
      </c>
      <c r="E913" s="13" t="s">
        <v>2</v>
      </c>
      <c r="F913" s="13">
        <v>100</v>
      </c>
      <c r="G913" s="13">
        <v>100</v>
      </c>
      <c r="H913" s="13"/>
      <c r="I913" s="13"/>
      <c r="J913" s="13"/>
      <c r="K913" s="13">
        <v>100</v>
      </c>
      <c r="L913" s="23"/>
      <c r="M913" s="13" t="s">
        <v>23</v>
      </c>
      <c r="N913" s="13" t="str">
        <f>IFERROR(VLOOKUP($A:$A,[1]KION_IND_E_COM_LT!$A:$T,18,0),"")</f>
        <v/>
      </c>
      <c r="O913" s="14">
        <v>1</v>
      </c>
      <c r="P913" s="15">
        <f t="shared" si="14"/>
        <v>100</v>
      </c>
      <c r="Q913" s="16">
        <v>44088</v>
      </c>
      <c r="R913" s="17">
        <v>9</v>
      </c>
      <c r="S913" s="13" t="s">
        <v>0</v>
      </c>
    </row>
    <row r="914" spans="1:19" x14ac:dyDescent="0.25">
      <c r="A914" s="13">
        <v>9999321103</v>
      </c>
      <c r="B914" s="27" t="s">
        <v>255</v>
      </c>
      <c r="C914" s="28">
        <v>2</v>
      </c>
      <c r="D914" s="13">
        <v>681202</v>
      </c>
      <c r="E914" s="13" t="s">
        <v>2</v>
      </c>
      <c r="F914" s="13">
        <v>100</v>
      </c>
      <c r="G914" s="13">
        <v>100</v>
      </c>
      <c r="H914" s="13"/>
      <c r="I914" s="13"/>
      <c r="J914" s="13"/>
      <c r="K914" s="13">
        <v>100</v>
      </c>
      <c r="L914" s="23"/>
      <c r="M914" s="13" t="s">
        <v>23</v>
      </c>
      <c r="N914" s="13" t="str">
        <f>IFERROR(VLOOKUP($A:$A,[1]KION_IND_E_COM_LT!$A:$T,18,0),"")</f>
        <v/>
      </c>
      <c r="O914" s="14">
        <v>1</v>
      </c>
      <c r="P914" s="15">
        <f t="shared" si="14"/>
        <v>100</v>
      </c>
      <c r="Q914" s="16">
        <v>44088</v>
      </c>
      <c r="R914" s="17">
        <v>9</v>
      </c>
      <c r="S914" s="13" t="s">
        <v>0</v>
      </c>
    </row>
    <row r="915" spans="1:19" x14ac:dyDescent="0.25">
      <c r="A915" s="13">
        <v>9999322153</v>
      </c>
      <c r="B915" s="27" t="s">
        <v>256</v>
      </c>
      <c r="C915" s="28">
        <v>0</v>
      </c>
      <c r="D915" s="13">
        <v>681202</v>
      </c>
      <c r="E915" s="13" t="s">
        <v>2</v>
      </c>
      <c r="F915" s="13">
        <v>100</v>
      </c>
      <c r="G915" s="13">
        <v>100</v>
      </c>
      <c r="H915" s="13"/>
      <c r="I915" s="13"/>
      <c r="J915" s="13">
        <v>100</v>
      </c>
      <c r="K915" s="13">
        <v>0</v>
      </c>
      <c r="L915" s="22" t="s">
        <v>21</v>
      </c>
      <c r="M915" s="13" t="s">
        <v>320</v>
      </c>
      <c r="N915" s="13">
        <f>IFERROR(VLOOKUP($A:$A,[1]KION_IND_E_COM_LT!$A:$T,18,0),"")</f>
        <v>0</v>
      </c>
      <c r="O915" s="14"/>
      <c r="P915" s="15">
        <f t="shared" si="14"/>
        <v>0</v>
      </c>
      <c r="Q915" s="16"/>
      <c r="R915" s="17">
        <v>6</v>
      </c>
      <c r="S915" s="13" t="s">
        <v>0</v>
      </c>
    </row>
    <row r="916" spans="1:19" x14ac:dyDescent="0.25">
      <c r="A916" s="13">
        <v>9999322154</v>
      </c>
      <c r="B916" s="27" t="s">
        <v>256</v>
      </c>
      <c r="C916" s="28">
        <v>0</v>
      </c>
      <c r="D916" s="13">
        <v>681202</v>
      </c>
      <c r="E916" s="13" t="s">
        <v>2</v>
      </c>
      <c r="F916" s="13">
        <v>100</v>
      </c>
      <c r="G916" s="13">
        <v>100</v>
      </c>
      <c r="H916" s="13"/>
      <c r="I916" s="13"/>
      <c r="J916" s="13">
        <v>100</v>
      </c>
      <c r="K916" s="13">
        <v>0</v>
      </c>
      <c r="L916" s="22" t="s">
        <v>21</v>
      </c>
      <c r="M916" s="13" t="s">
        <v>320</v>
      </c>
      <c r="N916" s="13">
        <f>IFERROR(VLOOKUP($A:$A,[1]KION_IND_E_COM_LT!$A:$T,18,0),"")</f>
        <v>0</v>
      </c>
      <c r="O916" s="14"/>
      <c r="P916" s="15">
        <f t="shared" si="14"/>
        <v>0</v>
      </c>
      <c r="Q916" s="16"/>
      <c r="R916" s="17">
        <v>6</v>
      </c>
      <c r="S916" s="13" t="s">
        <v>0</v>
      </c>
    </row>
    <row r="917" spans="1:19" x14ac:dyDescent="0.25">
      <c r="A917" s="13">
        <v>9999322155</v>
      </c>
      <c r="B917" s="27" t="s">
        <v>256</v>
      </c>
      <c r="C917" s="28">
        <v>0</v>
      </c>
      <c r="D917" s="13">
        <v>681202</v>
      </c>
      <c r="E917" s="13" t="s">
        <v>2</v>
      </c>
      <c r="F917" s="13">
        <v>100</v>
      </c>
      <c r="G917" s="13">
        <v>100</v>
      </c>
      <c r="H917" s="13"/>
      <c r="I917" s="13"/>
      <c r="J917" s="13">
        <v>100</v>
      </c>
      <c r="K917" s="13">
        <v>0</v>
      </c>
      <c r="L917" s="22" t="s">
        <v>21</v>
      </c>
      <c r="M917" s="13" t="s">
        <v>320</v>
      </c>
      <c r="N917" s="13">
        <f>IFERROR(VLOOKUP($A:$A,[1]KION_IND_E_COM_LT!$A:$T,18,0),"")</f>
        <v>0</v>
      </c>
      <c r="O917" s="14"/>
      <c r="P917" s="15">
        <f t="shared" si="14"/>
        <v>0</v>
      </c>
      <c r="Q917" s="16"/>
      <c r="R917" s="17">
        <v>6</v>
      </c>
      <c r="S917" s="13" t="s">
        <v>0</v>
      </c>
    </row>
    <row r="918" spans="1:19" x14ac:dyDescent="0.25">
      <c r="A918" s="13">
        <v>9999322156</v>
      </c>
      <c r="B918" s="27" t="s">
        <v>256</v>
      </c>
      <c r="C918" s="28">
        <v>0</v>
      </c>
      <c r="D918" s="13">
        <v>681202</v>
      </c>
      <c r="E918" s="13" t="s">
        <v>2</v>
      </c>
      <c r="F918" s="13">
        <v>100</v>
      </c>
      <c r="G918" s="13">
        <v>100</v>
      </c>
      <c r="H918" s="13"/>
      <c r="I918" s="13"/>
      <c r="J918" s="13">
        <v>100</v>
      </c>
      <c r="K918" s="13">
        <v>0</v>
      </c>
      <c r="L918" s="22" t="s">
        <v>21</v>
      </c>
      <c r="M918" s="13" t="s">
        <v>320</v>
      </c>
      <c r="N918" s="13">
        <f>IFERROR(VLOOKUP($A:$A,[1]KION_IND_E_COM_LT!$A:$T,18,0),"")</f>
        <v>0</v>
      </c>
      <c r="O918" s="14"/>
      <c r="P918" s="15">
        <f t="shared" si="14"/>
        <v>0</v>
      </c>
      <c r="Q918" s="16"/>
      <c r="R918" s="17">
        <v>6</v>
      </c>
      <c r="S918" s="13" t="s">
        <v>0</v>
      </c>
    </row>
    <row r="919" spans="1:19" x14ac:dyDescent="0.25">
      <c r="A919" s="13">
        <v>9999322157</v>
      </c>
      <c r="B919" s="27" t="s">
        <v>256</v>
      </c>
      <c r="C919" s="28">
        <v>0</v>
      </c>
      <c r="D919" s="13">
        <v>681202</v>
      </c>
      <c r="E919" s="13" t="s">
        <v>2</v>
      </c>
      <c r="F919" s="13">
        <v>100</v>
      </c>
      <c r="G919" s="13">
        <v>100</v>
      </c>
      <c r="H919" s="13"/>
      <c r="I919" s="13"/>
      <c r="J919" s="13">
        <v>100</v>
      </c>
      <c r="K919" s="13">
        <v>0</v>
      </c>
      <c r="L919" s="22" t="s">
        <v>21</v>
      </c>
      <c r="M919" s="13" t="s">
        <v>320</v>
      </c>
      <c r="N919" s="13">
        <f>IFERROR(VLOOKUP($A:$A,[1]KION_IND_E_COM_LT!$A:$T,18,0),"")</f>
        <v>0</v>
      </c>
      <c r="O919" s="14"/>
      <c r="P919" s="15">
        <f t="shared" si="14"/>
        <v>0</v>
      </c>
      <c r="Q919" s="16"/>
      <c r="R919" s="17">
        <v>6</v>
      </c>
      <c r="S919" s="13" t="s">
        <v>0</v>
      </c>
    </row>
    <row r="920" spans="1:19" x14ac:dyDescent="0.25">
      <c r="A920" s="13">
        <v>9999322158</v>
      </c>
      <c r="B920" s="27" t="s">
        <v>256</v>
      </c>
      <c r="C920" s="28">
        <v>0</v>
      </c>
      <c r="D920" s="13">
        <v>681202</v>
      </c>
      <c r="E920" s="13" t="s">
        <v>2</v>
      </c>
      <c r="F920" s="13">
        <v>100</v>
      </c>
      <c r="G920" s="13">
        <v>100</v>
      </c>
      <c r="H920" s="13"/>
      <c r="I920" s="13"/>
      <c r="J920" s="13">
        <v>100</v>
      </c>
      <c r="K920" s="13">
        <v>0</v>
      </c>
      <c r="L920" s="22" t="s">
        <v>21</v>
      </c>
      <c r="M920" s="13" t="s">
        <v>320</v>
      </c>
      <c r="N920" s="13">
        <f>IFERROR(VLOOKUP($A:$A,[1]KION_IND_E_COM_LT!$A:$T,18,0),"")</f>
        <v>0</v>
      </c>
      <c r="O920" s="14"/>
      <c r="P920" s="15">
        <f t="shared" si="14"/>
        <v>0</v>
      </c>
      <c r="Q920" s="16"/>
      <c r="R920" s="17">
        <v>6</v>
      </c>
      <c r="S920" s="13" t="s">
        <v>0</v>
      </c>
    </row>
    <row r="921" spans="1:19" x14ac:dyDescent="0.25">
      <c r="A921" s="13">
        <v>9999322165</v>
      </c>
      <c r="B921" s="27" t="s">
        <v>256</v>
      </c>
      <c r="C921" s="28">
        <v>0</v>
      </c>
      <c r="D921" s="13">
        <v>681202</v>
      </c>
      <c r="E921" s="13" t="s">
        <v>2</v>
      </c>
      <c r="F921" s="13">
        <v>100</v>
      </c>
      <c r="G921" s="13">
        <v>100</v>
      </c>
      <c r="H921" s="13"/>
      <c r="I921" s="13"/>
      <c r="J921" s="13">
        <v>100</v>
      </c>
      <c r="K921" s="13">
        <v>0</v>
      </c>
      <c r="L921" s="22" t="s">
        <v>21</v>
      </c>
      <c r="M921" s="13" t="s">
        <v>320</v>
      </c>
      <c r="N921" s="13">
        <f>IFERROR(VLOOKUP($A:$A,[1]KION_IND_E_COM_LT!$A:$T,18,0),"")</f>
        <v>0</v>
      </c>
      <c r="O921" s="14"/>
      <c r="P921" s="15">
        <f t="shared" si="14"/>
        <v>0</v>
      </c>
      <c r="Q921" s="16"/>
      <c r="R921" s="17">
        <v>6</v>
      </c>
      <c r="S921" s="13" t="s">
        <v>0</v>
      </c>
    </row>
    <row r="922" spans="1:19" x14ac:dyDescent="0.25">
      <c r="A922" s="13">
        <v>9999322166</v>
      </c>
      <c r="B922" s="27" t="s">
        <v>256</v>
      </c>
      <c r="C922" s="28">
        <v>0</v>
      </c>
      <c r="D922" s="13">
        <v>681202</v>
      </c>
      <c r="E922" s="13" t="s">
        <v>2</v>
      </c>
      <c r="F922" s="13">
        <v>100</v>
      </c>
      <c r="G922" s="13">
        <v>100</v>
      </c>
      <c r="H922" s="13"/>
      <c r="I922" s="13"/>
      <c r="J922" s="13">
        <v>100</v>
      </c>
      <c r="K922" s="13">
        <v>0</v>
      </c>
      <c r="L922" s="22" t="s">
        <v>21</v>
      </c>
      <c r="M922" s="13" t="s">
        <v>320</v>
      </c>
      <c r="N922" s="13">
        <f>IFERROR(VLOOKUP($A:$A,[1]KION_IND_E_COM_LT!$A:$T,18,0),"")</f>
        <v>0</v>
      </c>
      <c r="O922" s="14"/>
      <c r="P922" s="15">
        <f t="shared" si="14"/>
        <v>0</v>
      </c>
      <c r="Q922" s="16"/>
      <c r="R922" s="17">
        <v>6</v>
      </c>
      <c r="S922" s="13" t="s">
        <v>0</v>
      </c>
    </row>
    <row r="923" spans="1:19" x14ac:dyDescent="0.25">
      <c r="A923" s="13">
        <v>9999322167</v>
      </c>
      <c r="B923" s="27" t="s">
        <v>256</v>
      </c>
      <c r="C923" s="28">
        <v>0</v>
      </c>
      <c r="D923" s="13">
        <v>681202</v>
      </c>
      <c r="E923" s="13" t="s">
        <v>2</v>
      </c>
      <c r="F923" s="13">
        <v>100</v>
      </c>
      <c r="G923" s="13">
        <v>100</v>
      </c>
      <c r="H923" s="13"/>
      <c r="I923" s="13"/>
      <c r="J923" s="13">
        <v>100</v>
      </c>
      <c r="K923" s="13">
        <v>0</v>
      </c>
      <c r="L923" s="22" t="s">
        <v>21</v>
      </c>
      <c r="M923" s="13" t="s">
        <v>320</v>
      </c>
      <c r="N923" s="13">
        <f>IFERROR(VLOOKUP($A:$A,[1]KION_IND_E_COM_LT!$A:$T,18,0),"")</f>
        <v>0</v>
      </c>
      <c r="O923" s="14"/>
      <c r="P923" s="15">
        <f t="shared" si="14"/>
        <v>0</v>
      </c>
      <c r="Q923" s="16"/>
      <c r="R923" s="17">
        <v>6</v>
      </c>
      <c r="S923" s="13" t="s">
        <v>0</v>
      </c>
    </row>
    <row r="924" spans="1:19" x14ac:dyDescent="0.25">
      <c r="A924" s="13">
        <v>9999322168</v>
      </c>
      <c r="B924" s="27" t="s">
        <v>256</v>
      </c>
      <c r="C924" s="28">
        <v>0</v>
      </c>
      <c r="D924" s="13">
        <v>681202</v>
      </c>
      <c r="E924" s="13" t="s">
        <v>2</v>
      </c>
      <c r="F924" s="13">
        <v>100</v>
      </c>
      <c r="G924" s="13">
        <v>100</v>
      </c>
      <c r="H924" s="13"/>
      <c r="I924" s="13"/>
      <c r="J924" s="13">
        <v>100</v>
      </c>
      <c r="K924" s="13">
        <v>0</v>
      </c>
      <c r="L924" s="22" t="s">
        <v>21</v>
      </c>
      <c r="M924" s="13" t="s">
        <v>320</v>
      </c>
      <c r="N924" s="13">
        <f>IFERROR(VLOOKUP($A:$A,[1]KION_IND_E_COM_LT!$A:$T,18,0),"")</f>
        <v>0</v>
      </c>
      <c r="O924" s="14"/>
      <c r="P924" s="15">
        <f t="shared" si="14"/>
        <v>0</v>
      </c>
      <c r="Q924" s="16"/>
      <c r="R924" s="17">
        <v>6</v>
      </c>
      <c r="S924" s="13" t="s">
        <v>0</v>
      </c>
    </row>
    <row r="925" spans="1:19" x14ac:dyDescent="0.25">
      <c r="A925" s="13">
        <v>9999322169</v>
      </c>
      <c r="B925" s="27" t="s">
        <v>256</v>
      </c>
      <c r="C925" s="28">
        <v>0</v>
      </c>
      <c r="D925" s="13">
        <v>681202</v>
      </c>
      <c r="E925" s="13" t="s">
        <v>2</v>
      </c>
      <c r="F925" s="13">
        <v>100</v>
      </c>
      <c r="G925" s="13">
        <v>100</v>
      </c>
      <c r="H925" s="13"/>
      <c r="I925" s="13">
        <v>100</v>
      </c>
      <c r="J925" s="13"/>
      <c r="K925" s="13">
        <v>0</v>
      </c>
      <c r="L925" s="22" t="s">
        <v>21</v>
      </c>
      <c r="M925" s="13" t="s">
        <v>25</v>
      </c>
      <c r="N925" s="13">
        <f>IFERROR(VLOOKUP($A:$A,[1]KION_IND_E_COM_LT!$A:$T,18,0),"")</f>
        <v>0</v>
      </c>
      <c r="O925" s="14"/>
      <c r="P925" s="15">
        <f t="shared" si="14"/>
        <v>0</v>
      </c>
      <c r="Q925" s="16"/>
      <c r="R925" s="17">
        <v>6</v>
      </c>
      <c r="S925" s="13" t="s">
        <v>0</v>
      </c>
    </row>
    <row r="926" spans="1:19" x14ac:dyDescent="0.25">
      <c r="A926" s="13">
        <v>9999322170</v>
      </c>
      <c r="B926" s="27" t="s">
        <v>256</v>
      </c>
      <c r="C926" s="28">
        <v>0</v>
      </c>
      <c r="D926" s="13">
        <v>681202</v>
      </c>
      <c r="E926" s="13" t="s">
        <v>2</v>
      </c>
      <c r="F926" s="13">
        <v>100</v>
      </c>
      <c r="G926" s="13">
        <v>100</v>
      </c>
      <c r="H926" s="13"/>
      <c r="I926" s="13">
        <v>100</v>
      </c>
      <c r="J926" s="13"/>
      <c r="K926" s="13">
        <v>0</v>
      </c>
      <c r="L926" s="22" t="s">
        <v>21</v>
      </c>
      <c r="M926" s="13" t="s">
        <v>25</v>
      </c>
      <c r="N926" s="13">
        <f>IFERROR(VLOOKUP($A:$A,[1]KION_IND_E_COM_LT!$A:$T,18,0),"")</f>
        <v>0</v>
      </c>
      <c r="O926" s="14"/>
      <c r="P926" s="15">
        <f t="shared" si="14"/>
        <v>0</v>
      </c>
      <c r="Q926" s="16"/>
      <c r="R926" s="17">
        <v>6</v>
      </c>
      <c r="S926" s="13" t="s">
        <v>0</v>
      </c>
    </row>
    <row r="927" spans="1:19" x14ac:dyDescent="0.25">
      <c r="A927" s="13">
        <v>9999322171</v>
      </c>
      <c r="B927" s="27" t="s">
        <v>256</v>
      </c>
      <c r="C927" s="28">
        <v>0</v>
      </c>
      <c r="D927" s="13">
        <v>681202</v>
      </c>
      <c r="E927" s="13" t="s">
        <v>2</v>
      </c>
      <c r="F927" s="13">
        <v>100</v>
      </c>
      <c r="G927" s="13">
        <v>100</v>
      </c>
      <c r="H927" s="13"/>
      <c r="I927" s="13"/>
      <c r="J927" s="13"/>
      <c r="K927" s="13">
        <v>100</v>
      </c>
      <c r="L927" s="22" t="s">
        <v>21</v>
      </c>
      <c r="M927" s="13" t="s">
        <v>320</v>
      </c>
      <c r="N927" s="13" t="str">
        <f>IFERROR(VLOOKUP($A:$A,[1]KION_IND_E_COM_LT!$A:$T,18,0),"")</f>
        <v>10/08 - A</v>
      </c>
      <c r="O927" s="14">
        <v>1</v>
      </c>
      <c r="P927" s="15">
        <f t="shared" si="14"/>
        <v>100</v>
      </c>
      <c r="Q927" s="16">
        <v>44067</v>
      </c>
      <c r="R927" s="17">
        <v>6</v>
      </c>
      <c r="S927" s="13" t="s">
        <v>0</v>
      </c>
    </row>
    <row r="928" spans="1:19" x14ac:dyDescent="0.25">
      <c r="A928" s="13">
        <v>9999322172</v>
      </c>
      <c r="B928" s="27" t="s">
        <v>256</v>
      </c>
      <c r="C928" s="28">
        <v>0</v>
      </c>
      <c r="D928" s="13">
        <v>681202</v>
      </c>
      <c r="E928" s="13" t="s">
        <v>2</v>
      </c>
      <c r="F928" s="13">
        <v>100</v>
      </c>
      <c r="G928" s="13">
        <v>100</v>
      </c>
      <c r="H928" s="13"/>
      <c r="I928" s="13"/>
      <c r="J928" s="13"/>
      <c r="K928" s="13">
        <v>100</v>
      </c>
      <c r="L928" s="22" t="s">
        <v>21</v>
      </c>
      <c r="M928" s="13" t="s">
        <v>320</v>
      </c>
      <c r="N928" s="13" t="str">
        <f>IFERROR(VLOOKUP($A:$A,[1]KION_IND_E_COM_LT!$A:$T,18,0),"")</f>
        <v>10/08 - A</v>
      </c>
      <c r="O928" s="14">
        <v>1</v>
      </c>
      <c r="P928" s="15">
        <f t="shared" si="14"/>
        <v>100</v>
      </c>
      <c r="Q928" s="16">
        <v>44067</v>
      </c>
      <c r="R928" s="17">
        <v>6</v>
      </c>
      <c r="S928" s="13" t="s">
        <v>0</v>
      </c>
    </row>
    <row r="929" spans="1:19" x14ac:dyDescent="0.25">
      <c r="A929" s="13">
        <v>9999322173</v>
      </c>
      <c r="B929" s="27" t="s">
        <v>256</v>
      </c>
      <c r="C929" s="28">
        <v>0</v>
      </c>
      <c r="D929" s="13">
        <v>681202</v>
      </c>
      <c r="E929" s="13" t="s">
        <v>2</v>
      </c>
      <c r="F929" s="13">
        <v>100</v>
      </c>
      <c r="G929" s="13">
        <v>100</v>
      </c>
      <c r="H929" s="13"/>
      <c r="I929" s="13"/>
      <c r="J929" s="13"/>
      <c r="K929" s="13">
        <v>100</v>
      </c>
      <c r="L929" s="22" t="s">
        <v>21</v>
      </c>
      <c r="M929" s="13" t="s">
        <v>320</v>
      </c>
      <c r="N929" s="13" t="str">
        <f>IFERROR(VLOOKUP($A:$A,[1]KION_IND_E_COM_LT!$A:$T,18,0),"")</f>
        <v>10/08 - A</v>
      </c>
      <c r="O929" s="14">
        <v>1</v>
      </c>
      <c r="P929" s="15">
        <f t="shared" si="14"/>
        <v>100</v>
      </c>
      <c r="Q929" s="16">
        <v>44067</v>
      </c>
      <c r="R929" s="17">
        <v>6</v>
      </c>
      <c r="S929" s="13" t="s">
        <v>0</v>
      </c>
    </row>
    <row r="930" spans="1:19" x14ac:dyDescent="0.25">
      <c r="A930" s="13">
        <v>9999322174</v>
      </c>
      <c r="B930" s="27" t="s">
        <v>256</v>
      </c>
      <c r="C930" s="28">
        <v>0</v>
      </c>
      <c r="D930" s="13">
        <v>681202</v>
      </c>
      <c r="E930" s="13" t="s">
        <v>2</v>
      </c>
      <c r="F930" s="13">
        <v>100</v>
      </c>
      <c r="G930" s="13">
        <v>100</v>
      </c>
      <c r="H930" s="13"/>
      <c r="I930" s="13"/>
      <c r="J930" s="13"/>
      <c r="K930" s="13">
        <v>100</v>
      </c>
      <c r="L930" s="22" t="s">
        <v>21</v>
      </c>
      <c r="M930" s="13" t="s">
        <v>320</v>
      </c>
      <c r="N930" s="13" t="str">
        <f>IFERROR(VLOOKUP($A:$A,[1]KION_IND_E_COM_LT!$A:$T,18,0),"")</f>
        <v>10/08 - A</v>
      </c>
      <c r="O930" s="14">
        <v>1</v>
      </c>
      <c r="P930" s="15">
        <f t="shared" si="14"/>
        <v>100</v>
      </c>
      <c r="Q930" s="16">
        <v>44067</v>
      </c>
      <c r="R930" s="17">
        <v>6</v>
      </c>
      <c r="S930" s="13" t="s">
        <v>0</v>
      </c>
    </row>
    <row r="931" spans="1:19" x14ac:dyDescent="0.25">
      <c r="A931" s="13">
        <v>9999322175</v>
      </c>
      <c r="B931" s="27" t="s">
        <v>256</v>
      </c>
      <c r="C931" s="28">
        <v>0</v>
      </c>
      <c r="D931" s="13">
        <v>681202</v>
      </c>
      <c r="E931" s="13" t="s">
        <v>2</v>
      </c>
      <c r="F931" s="13">
        <v>100</v>
      </c>
      <c r="G931" s="13">
        <v>100</v>
      </c>
      <c r="H931" s="13"/>
      <c r="I931" s="13"/>
      <c r="J931" s="13"/>
      <c r="K931" s="13">
        <v>100</v>
      </c>
      <c r="L931" s="22" t="s">
        <v>21</v>
      </c>
      <c r="M931" s="13" t="s">
        <v>320</v>
      </c>
      <c r="N931" s="13" t="str">
        <f>IFERROR(VLOOKUP($A:$A,[1]KION_IND_E_COM_LT!$A:$T,18,0),"")</f>
        <v>10/08 - A</v>
      </c>
      <c r="O931" s="14">
        <v>1</v>
      </c>
      <c r="P931" s="15">
        <f t="shared" si="14"/>
        <v>100</v>
      </c>
      <c r="Q931" s="16">
        <v>44067</v>
      </c>
      <c r="R931" s="17">
        <v>6</v>
      </c>
      <c r="S931" s="13" t="s">
        <v>0</v>
      </c>
    </row>
    <row r="932" spans="1:19" x14ac:dyDescent="0.25">
      <c r="A932" s="13">
        <v>9999322176</v>
      </c>
      <c r="B932" s="27" t="s">
        <v>256</v>
      </c>
      <c r="C932" s="28">
        <v>0</v>
      </c>
      <c r="D932" s="13">
        <v>681202</v>
      </c>
      <c r="E932" s="13" t="s">
        <v>2</v>
      </c>
      <c r="F932" s="13">
        <v>100</v>
      </c>
      <c r="G932" s="13">
        <v>100</v>
      </c>
      <c r="H932" s="13"/>
      <c r="I932" s="13"/>
      <c r="J932" s="13"/>
      <c r="K932" s="13">
        <v>100</v>
      </c>
      <c r="L932" s="22" t="s">
        <v>21</v>
      </c>
      <c r="M932" s="13" t="s">
        <v>320</v>
      </c>
      <c r="N932" s="13" t="str">
        <f>IFERROR(VLOOKUP($A:$A,[1]KION_IND_E_COM_LT!$A:$T,18,0),"")</f>
        <v>10/08 - A</v>
      </c>
      <c r="O932" s="14">
        <v>1</v>
      </c>
      <c r="P932" s="15">
        <f t="shared" si="14"/>
        <v>100</v>
      </c>
      <c r="Q932" s="16">
        <v>44074</v>
      </c>
      <c r="R932" s="17">
        <v>7</v>
      </c>
      <c r="S932" s="13" t="s">
        <v>0</v>
      </c>
    </row>
    <row r="933" spans="1:19" x14ac:dyDescent="0.25">
      <c r="A933" s="13">
        <v>9999322177</v>
      </c>
      <c r="B933" s="27" t="s">
        <v>256</v>
      </c>
      <c r="C933" s="28">
        <v>0</v>
      </c>
      <c r="D933" s="13">
        <v>681202</v>
      </c>
      <c r="E933" s="13" t="s">
        <v>2</v>
      </c>
      <c r="F933" s="13">
        <v>100</v>
      </c>
      <c r="G933" s="13">
        <v>100</v>
      </c>
      <c r="H933" s="13"/>
      <c r="I933" s="13"/>
      <c r="J933" s="13"/>
      <c r="K933" s="13">
        <v>100</v>
      </c>
      <c r="L933" s="22" t="s">
        <v>21</v>
      </c>
      <c r="M933" s="13" t="s">
        <v>320</v>
      </c>
      <c r="N933" s="13" t="str">
        <f>IFERROR(VLOOKUP($A:$A,[1]KION_IND_E_COM_LT!$A:$T,18,0),"")</f>
        <v>10/08 - A</v>
      </c>
      <c r="O933" s="14">
        <v>1</v>
      </c>
      <c r="P933" s="15">
        <f t="shared" si="14"/>
        <v>100</v>
      </c>
      <c r="Q933" s="16">
        <v>44074</v>
      </c>
      <c r="R933" s="17">
        <v>7</v>
      </c>
      <c r="S933" s="13" t="s">
        <v>0</v>
      </c>
    </row>
    <row r="934" spans="1:19" x14ac:dyDescent="0.25">
      <c r="A934" s="13">
        <v>9999322178</v>
      </c>
      <c r="B934" s="27" t="s">
        <v>256</v>
      </c>
      <c r="C934" s="28">
        <v>0</v>
      </c>
      <c r="D934" s="13">
        <v>681202</v>
      </c>
      <c r="E934" s="13" t="s">
        <v>2</v>
      </c>
      <c r="F934" s="13">
        <v>100</v>
      </c>
      <c r="G934" s="13">
        <v>100</v>
      </c>
      <c r="H934" s="13"/>
      <c r="I934" s="13"/>
      <c r="J934" s="13"/>
      <c r="K934" s="13">
        <v>100</v>
      </c>
      <c r="L934" s="22" t="s">
        <v>21</v>
      </c>
      <c r="M934" s="13" t="s">
        <v>320</v>
      </c>
      <c r="N934" s="13" t="str">
        <f>IFERROR(VLOOKUP($A:$A,[1]KION_IND_E_COM_LT!$A:$T,18,0),"")</f>
        <v>10/08 - A</v>
      </c>
      <c r="O934" s="14">
        <v>1</v>
      </c>
      <c r="P934" s="15">
        <f t="shared" si="14"/>
        <v>100</v>
      </c>
      <c r="Q934" s="16">
        <v>44074</v>
      </c>
      <c r="R934" s="17">
        <v>7</v>
      </c>
      <c r="S934" s="13" t="s">
        <v>0</v>
      </c>
    </row>
    <row r="935" spans="1:19" x14ac:dyDescent="0.25">
      <c r="A935" s="13">
        <v>9999322179</v>
      </c>
      <c r="B935" s="27" t="s">
        <v>256</v>
      </c>
      <c r="C935" s="28">
        <v>0</v>
      </c>
      <c r="D935" s="13">
        <v>681202</v>
      </c>
      <c r="E935" s="13" t="s">
        <v>2</v>
      </c>
      <c r="F935" s="13">
        <v>100</v>
      </c>
      <c r="G935" s="13">
        <v>100</v>
      </c>
      <c r="H935" s="13"/>
      <c r="I935" s="13"/>
      <c r="J935" s="13"/>
      <c r="K935" s="13">
        <v>100</v>
      </c>
      <c r="L935" s="22" t="s">
        <v>21</v>
      </c>
      <c r="M935" s="13" t="s">
        <v>320</v>
      </c>
      <c r="N935" s="13" t="str">
        <f>IFERROR(VLOOKUP($A:$A,[1]KION_IND_E_COM_LT!$A:$T,18,0),"")</f>
        <v>10/08 - A</v>
      </c>
      <c r="O935" s="14">
        <v>1</v>
      </c>
      <c r="P935" s="15">
        <f t="shared" si="14"/>
        <v>100</v>
      </c>
      <c r="Q935" s="16">
        <v>44074</v>
      </c>
      <c r="R935" s="17">
        <v>7</v>
      </c>
      <c r="S935" s="13" t="s">
        <v>0</v>
      </c>
    </row>
    <row r="936" spans="1:19" x14ac:dyDescent="0.25">
      <c r="A936" s="13">
        <v>9999322180</v>
      </c>
      <c r="B936" s="27" t="s">
        <v>256</v>
      </c>
      <c r="C936" s="28">
        <v>0</v>
      </c>
      <c r="D936" s="13">
        <v>681202</v>
      </c>
      <c r="E936" s="13" t="s">
        <v>2</v>
      </c>
      <c r="F936" s="13">
        <v>100</v>
      </c>
      <c r="G936" s="13">
        <v>100</v>
      </c>
      <c r="H936" s="13"/>
      <c r="I936" s="13"/>
      <c r="J936" s="13"/>
      <c r="K936" s="13">
        <v>100</v>
      </c>
      <c r="L936" s="22" t="s">
        <v>21</v>
      </c>
      <c r="M936" s="13" t="s">
        <v>27</v>
      </c>
      <c r="N936" s="13">
        <f>IFERROR(VLOOKUP($A:$A,[1]KION_IND_E_COM_LT!$A:$T,18,0),"")</f>
        <v>0</v>
      </c>
      <c r="O936" s="14">
        <v>1</v>
      </c>
      <c r="P936" s="15">
        <f t="shared" si="14"/>
        <v>100</v>
      </c>
      <c r="Q936" s="16">
        <v>44074</v>
      </c>
      <c r="R936" s="17">
        <v>7</v>
      </c>
      <c r="S936" s="13" t="s">
        <v>0</v>
      </c>
    </row>
    <row r="937" spans="1:19" x14ac:dyDescent="0.25">
      <c r="A937" s="13">
        <v>9999322181</v>
      </c>
      <c r="B937" s="27" t="s">
        <v>256</v>
      </c>
      <c r="C937" s="28">
        <v>0</v>
      </c>
      <c r="D937" s="13">
        <v>681202</v>
      </c>
      <c r="E937" s="13" t="s">
        <v>2</v>
      </c>
      <c r="F937" s="13">
        <v>100</v>
      </c>
      <c r="G937" s="13">
        <v>100</v>
      </c>
      <c r="H937" s="13"/>
      <c r="I937" s="13"/>
      <c r="J937" s="13"/>
      <c r="K937" s="13">
        <v>100</v>
      </c>
      <c r="L937" s="22" t="s">
        <v>21</v>
      </c>
      <c r="M937" s="13" t="s">
        <v>27</v>
      </c>
      <c r="N937" s="13">
        <f>IFERROR(VLOOKUP($A:$A,[1]KION_IND_E_COM_LT!$A:$T,18,0),"")</f>
        <v>0</v>
      </c>
      <c r="O937" s="14">
        <v>1</v>
      </c>
      <c r="P937" s="15">
        <f t="shared" si="14"/>
        <v>100</v>
      </c>
      <c r="Q937" s="16">
        <v>44081</v>
      </c>
      <c r="R937" s="17">
        <v>8</v>
      </c>
      <c r="S937" s="13" t="s">
        <v>0</v>
      </c>
    </row>
    <row r="938" spans="1:19" x14ac:dyDescent="0.25">
      <c r="A938" s="13">
        <v>9999322182</v>
      </c>
      <c r="B938" s="27" t="s">
        <v>256</v>
      </c>
      <c r="C938" s="28">
        <v>0</v>
      </c>
      <c r="D938" s="13">
        <v>681202</v>
      </c>
      <c r="E938" s="13" t="s">
        <v>2</v>
      </c>
      <c r="F938" s="13">
        <v>100</v>
      </c>
      <c r="G938" s="13">
        <v>100</v>
      </c>
      <c r="H938" s="13"/>
      <c r="I938" s="13"/>
      <c r="J938" s="13"/>
      <c r="K938" s="13">
        <v>100</v>
      </c>
      <c r="L938" s="22" t="s">
        <v>21</v>
      </c>
      <c r="M938" s="13" t="s">
        <v>27</v>
      </c>
      <c r="N938" s="13">
        <f>IFERROR(VLOOKUP($A:$A,[1]KION_IND_E_COM_LT!$A:$T,18,0),"")</f>
        <v>0</v>
      </c>
      <c r="O938" s="14">
        <v>1</v>
      </c>
      <c r="P938" s="15">
        <f t="shared" si="14"/>
        <v>100</v>
      </c>
      <c r="Q938" s="16">
        <v>44081</v>
      </c>
      <c r="R938" s="17">
        <v>8</v>
      </c>
      <c r="S938" s="13" t="s">
        <v>0</v>
      </c>
    </row>
    <row r="939" spans="1:19" x14ac:dyDescent="0.25">
      <c r="A939" s="13">
        <v>9999322183</v>
      </c>
      <c r="B939" s="27" t="s">
        <v>256</v>
      </c>
      <c r="C939" s="28">
        <v>0</v>
      </c>
      <c r="D939" s="13">
        <v>681202</v>
      </c>
      <c r="E939" s="13" t="s">
        <v>2</v>
      </c>
      <c r="F939" s="13">
        <v>100</v>
      </c>
      <c r="G939" s="13">
        <v>100</v>
      </c>
      <c r="H939" s="13"/>
      <c r="I939" s="13"/>
      <c r="J939" s="13"/>
      <c r="K939" s="13">
        <v>100</v>
      </c>
      <c r="L939" s="22" t="s">
        <v>21</v>
      </c>
      <c r="M939" s="13" t="s">
        <v>27</v>
      </c>
      <c r="N939" s="13">
        <f>IFERROR(VLOOKUP($A:$A,[1]KION_IND_E_COM_LT!$A:$T,18,0),"")</f>
        <v>0</v>
      </c>
      <c r="O939" s="14">
        <v>1</v>
      </c>
      <c r="P939" s="15">
        <f t="shared" si="14"/>
        <v>100</v>
      </c>
      <c r="Q939" s="16">
        <v>44081</v>
      </c>
      <c r="R939" s="17">
        <v>8</v>
      </c>
      <c r="S939" s="13" t="s">
        <v>0</v>
      </c>
    </row>
    <row r="940" spans="1:19" x14ac:dyDescent="0.25">
      <c r="A940" s="13">
        <v>9999322184</v>
      </c>
      <c r="B940" s="27" t="s">
        <v>256</v>
      </c>
      <c r="C940" s="28">
        <v>0</v>
      </c>
      <c r="D940" s="13">
        <v>681202</v>
      </c>
      <c r="E940" s="13" t="s">
        <v>2</v>
      </c>
      <c r="F940" s="13">
        <v>100</v>
      </c>
      <c r="G940" s="13">
        <v>100</v>
      </c>
      <c r="H940" s="13"/>
      <c r="I940" s="13"/>
      <c r="J940" s="13"/>
      <c r="K940" s="13">
        <v>100</v>
      </c>
      <c r="L940" s="23"/>
      <c r="M940" s="13" t="s">
        <v>23</v>
      </c>
      <c r="N940" s="13" t="str">
        <f>IFERROR(VLOOKUP($A:$A,[1]KION_IND_E_COM_LT!$A:$T,18,0),"")</f>
        <v/>
      </c>
      <c r="O940" s="14">
        <v>1</v>
      </c>
      <c r="P940" s="15">
        <f t="shared" si="14"/>
        <v>100</v>
      </c>
      <c r="Q940" s="16">
        <v>44088</v>
      </c>
      <c r="R940" s="17">
        <v>9</v>
      </c>
      <c r="S940" s="13" t="s">
        <v>0</v>
      </c>
    </row>
    <row r="941" spans="1:19" x14ac:dyDescent="0.25">
      <c r="A941" s="13">
        <v>9999322185</v>
      </c>
      <c r="B941" s="27" t="s">
        <v>256</v>
      </c>
      <c r="C941" s="28">
        <v>0</v>
      </c>
      <c r="D941" s="13">
        <v>681202</v>
      </c>
      <c r="E941" s="13" t="s">
        <v>2</v>
      </c>
      <c r="F941" s="13">
        <v>100</v>
      </c>
      <c r="G941" s="13">
        <v>100</v>
      </c>
      <c r="H941" s="13"/>
      <c r="I941" s="13"/>
      <c r="J941" s="13"/>
      <c r="K941" s="13">
        <v>100</v>
      </c>
      <c r="L941" s="23"/>
      <c r="M941" s="13" t="s">
        <v>23</v>
      </c>
      <c r="N941" s="13" t="str">
        <f>IFERROR(VLOOKUP($A:$A,[1]KION_IND_E_COM_LT!$A:$T,18,0),"")</f>
        <v/>
      </c>
      <c r="O941" s="14">
        <v>1</v>
      </c>
      <c r="P941" s="15">
        <f t="shared" si="14"/>
        <v>100</v>
      </c>
      <c r="Q941" s="16">
        <v>44088</v>
      </c>
      <c r="R941" s="17">
        <v>9</v>
      </c>
      <c r="S941" s="13" t="s">
        <v>0</v>
      </c>
    </row>
    <row r="942" spans="1:19" x14ac:dyDescent="0.25">
      <c r="A942" s="13">
        <v>9999322186</v>
      </c>
      <c r="B942" s="27" t="s">
        <v>256</v>
      </c>
      <c r="C942" s="28">
        <v>0</v>
      </c>
      <c r="D942" s="13">
        <v>681202</v>
      </c>
      <c r="E942" s="13" t="s">
        <v>2</v>
      </c>
      <c r="F942" s="13">
        <v>100</v>
      </c>
      <c r="G942" s="13">
        <v>100</v>
      </c>
      <c r="H942" s="13"/>
      <c r="I942" s="13"/>
      <c r="J942" s="13"/>
      <c r="K942" s="13">
        <v>100</v>
      </c>
      <c r="L942" s="23"/>
      <c r="M942" s="13" t="s">
        <v>23</v>
      </c>
      <c r="N942" s="13" t="str">
        <f>IFERROR(VLOOKUP($A:$A,[1]KION_IND_E_COM_LT!$A:$T,18,0),"")</f>
        <v/>
      </c>
      <c r="O942" s="14">
        <v>1</v>
      </c>
      <c r="P942" s="15">
        <f t="shared" si="14"/>
        <v>100</v>
      </c>
      <c r="Q942" s="16">
        <v>44088</v>
      </c>
      <c r="R942" s="17">
        <v>9</v>
      </c>
      <c r="S942" s="13" t="s">
        <v>0</v>
      </c>
    </row>
    <row r="943" spans="1:19" x14ac:dyDescent="0.25">
      <c r="A943" s="13">
        <v>9999322187</v>
      </c>
      <c r="B943" s="27" t="s">
        <v>256</v>
      </c>
      <c r="C943" s="28">
        <v>0</v>
      </c>
      <c r="D943" s="13">
        <v>681202</v>
      </c>
      <c r="E943" s="13" t="s">
        <v>2</v>
      </c>
      <c r="F943" s="13">
        <v>100</v>
      </c>
      <c r="G943" s="13">
        <v>100</v>
      </c>
      <c r="H943" s="13"/>
      <c r="I943" s="13"/>
      <c r="J943" s="13"/>
      <c r="K943" s="13">
        <v>100</v>
      </c>
      <c r="L943" s="23"/>
      <c r="M943" s="13" t="s">
        <v>23</v>
      </c>
      <c r="N943" s="13" t="str">
        <f>IFERROR(VLOOKUP($A:$A,[1]KION_IND_E_COM_LT!$A:$T,18,0),"")</f>
        <v/>
      </c>
      <c r="O943" s="14">
        <v>1</v>
      </c>
      <c r="P943" s="15">
        <f t="shared" si="14"/>
        <v>100</v>
      </c>
      <c r="Q943" s="16">
        <v>44088</v>
      </c>
      <c r="R943" s="17">
        <v>9</v>
      </c>
      <c r="S943" s="13" t="s">
        <v>0</v>
      </c>
    </row>
    <row r="944" spans="1:19" x14ac:dyDescent="0.25">
      <c r="A944" s="13">
        <v>9999322188</v>
      </c>
      <c r="B944" s="27" t="s">
        <v>256</v>
      </c>
      <c r="C944" s="28">
        <v>0</v>
      </c>
      <c r="D944" s="13">
        <v>681202</v>
      </c>
      <c r="E944" s="13" t="s">
        <v>2</v>
      </c>
      <c r="F944" s="13">
        <v>100</v>
      </c>
      <c r="G944" s="13">
        <v>100</v>
      </c>
      <c r="H944" s="13"/>
      <c r="I944" s="13"/>
      <c r="J944" s="13"/>
      <c r="K944" s="13">
        <v>100</v>
      </c>
      <c r="L944" s="23"/>
      <c r="M944" s="13" t="s">
        <v>23</v>
      </c>
      <c r="N944" s="13" t="str">
        <f>IFERROR(VLOOKUP($A:$A,[1]KION_IND_E_COM_LT!$A:$T,18,0),"")</f>
        <v/>
      </c>
      <c r="O944" s="14">
        <v>1</v>
      </c>
      <c r="P944" s="15">
        <f t="shared" si="14"/>
        <v>100</v>
      </c>
      <c r="Q944" s="16">
        <v>44095</v>
      </c>
      <c r="R944" s="17">
        <v>10</v>
      </c>
      <c r="S944" s="13" t="s">
        <v>0</v>
      </c>
    </row>
    <row r="945" spans="1:19" x14ac:dyDescent="0.25">
      <c r="A945" s="13">
        <v>9999324100</v>
      </c>
      <c r="B945" s="27" t="s">
        <v>258</v>
      </c>
      <c r="C945" s="28">
        <v>1</v>
      </c>
      <c r="D945" s="13">
        <v>681202</v>
      </c>
      <c r="E945" s="13" t="s">
        <v>2</v>
      </c>
      <c r="F945" s="13">
        <v>100</v>
      </c>
      <c r="G945" s="13">
        <v>100</v>
      </c>
      <c r="H945" s="13"/>
      <c r="I945" s="13"/>
      <c r="J945" s="13"/>
      <c r="K945" s="13">
        <v>100</v>
      </c>
      <c r="L945" s="23"/>
      <c r="M945" s="13" t="s">
        <v>23</v>
      </c>
      <c r="N945" s="13">
        <f>IFERROR(VLOOKUP($A:$A,[1]KION_IND_E_COM_LT!$A:$T,18,0),"")</f>
        <v>0</v>
      </c>
      <c r="O945" s="14">
        <v>1</v>
      </c>
      <c r="P945" s="15">
        <f t="shared" si="14"/>
        <v>100</v>
      </c>
      <c r="Q945" s="16">
        <v>44081</v>
      </c>
      <c r="R945" s="17">
        <v>8</v>
      </c>
      <c r="S945" s="13" t="s">
        <v>0</v>
      </c>
    </row>
    <row r="946" spans="1:19" x14ac:dyDescent="0.25">
      <c r="A946" s="13">
        <v>9999324101</v>
      </c>
      <c r="B946" s="27" t="s">
        <v>258</v>
      </c>
      <c r="C946" s="28">
        <v>1</v>
      </c>
      <c r="D946" s="13">
        <v>681202</v>
      </c>
      <c r="E946" s="13" t="s">
        <v>2</v>
      </c>
      <c r="F946" s="13">
        <v>100</v>
      </c>
      <c r="G946" s="13">
        <v>100</v>
      </c>
      <c r="H946" s="13"/>
      <c r="I946" s="13"/>
      <c r="J946" s="13"/>
      <c r="K946" s="13">
        <v>100</v>
      </c>
      <c r="L946" s="23"/>
      <c r="M946" s="13" t="s">
        <v>23</v>
      </c>
      <c r="N946" s="13" t="str">
        <f>IFERROR(VLOOKUP($A:$A,[1]KION_IND_E_COM_LT!$A:$T,18,0),"")</f>
        <v/>
      </c>
      <c r="O946" s="14">
        <v>1</v>
      </c>
      <c r="P946" s="15">
        <f t="shared" si="14"/>
        <v>100</v>
      </c>
      <c r="Q946" s="16">
        <v>44088</v>
      </c>
      <c r="R946" s="17">
        <v>9</v>
      </c>
      <c r="S946" s="13" t="s">
        <v>0</v>
      </c>
    </row>
    <row r="947" spans="1:19" x14ac:dyDescent="0.25">
      <c r="A947" s="13">
        <v>9999324102</v>
      </c>
      <c r="B947" s="27" t="s">
        <v>258</v>
      </c>
      <c r="C947" s="28">
        <v>1</v>
      </c>
      <c r="D947" s="13">
        <v>681202</v>
      </c>
      <c r="E947" s="13" t="s">
        <v>2</v>
      </c>
      <c r="F947" s="13">
        <v>100</v>
      </c>
      <c r="G947" s="13">
        <v>100</v>
      </c>
      <c r="H947" s="13"/>
      <c r="I947" s="13"/>
      <c r="J947" s="13"/>
      <c r="K947" s="13">
        <v>100</v>
      </c>
      <c r="L947" s="23"/>
      <c r="M947" s="13" t="s">
        <v>23</v>
      </c>
      <c r="N947" s="13" t="str">
        <f>IFERROR(VLOOKUP($A:$A,[1]KION_IND_E_COM_LT!$A:$T,18,0),"")</f>
        <v/>
      </c>
      <c r="O947" s="14">
        <v>1</v>
      </c>
      <c r="P947" s="15">
        <f t="shared" si="14"/>
        <v>100</v>
      </c>
      <c r="Q947" s="16">
        <v>44088</v>
      </c>
      <c r="R947" s="17">
        <v>9</v>
      </c>
      <c r="S947" s="13" t="s">
        <v>0</v>
      </c>
    </row>
    <row r="948" spans="1:19" x14ac:dyDescent="0.25">
      <c r="A948" s="13">
        <v>9999331100</v>
      </c>
      <c r="B948" s="27" t="s">
        <v>262</v>
      </c>
      <c r="C948" s="28">
        <v>0</v>
      </c>
      <c r="D948" s="13">
        <v>681202</v>
      </c>
      <c r="E948" s="13" t="s">
        <v>2</v>
      </c>
      <c r="F948" s="13">
        <v>100</v>
      </c>
      <c r="G948" s="13">
        <v>100</v>
      </c>
      <c r="H948" s="13"/>
      <c r="I948" s="13"/>
      <c r="J948" s="13"/>
      <c r="K948" s="13">
        <v>100</v>
      </c>
      <c r="L948" s="23"/>
      <c r="M948" s="13" t="s">
        <v>23</v>
      </c>
      <c r="N948" s="13" t="str">
        <f>IFERROR(VLOOKUP($A:$A,[1]KION_IND_E_COM_LT!$A:$T,18,0),"")</f>
        <v/>
      </c>
      <c r="O948" s="14">
        <v>1</v>
      </c>
      <c r="P948" s="15">
        <f t="shared" si="14"/>
        <v>100</v>
      </c>
      <c r="Q948" s="16">
        <v>44088</v>
      </c>
      <c r="R948" s="17">
        <v>9</v>
      </c>
      <c r="S948" s="13" t="s">
        <v>0</v>
      </c>
    </row>
    <row r="949" spans="1:19" x14ac:dyDescent="0.25">
      <c r="A949" s="13">
        <v>9999331101</v>
      </c>
      <c r="B949" s="27" t="s">
        <v>262</v>
      </c>
      <c r="C949" s="28">
        <v>0</v>
      </c>
      <c r="D949" s="13">
        <v>681202</v>
      </c>
      <c r="E949" s="13" t="s">
        <v>2</v>
      </c>
      <c r="F949" s="13">
        <v>100</v>
      </c>
      <c r="G949" s="13">
        <v>100</v>
      </c>
      <c r="H949" s="13"/>
      <c r="I949" s="13"/>
      <c r="J949" s="13"/>
      <c r="K949" s="13">
        <v>100</v>
      </c>
      <c r="L949" s="23"/>
      <c r="M949" s="13" t="s">
        <v>23</v>
      </c>
      <c r="N949" s="13" t="str">
        <f>IFERROR(VLOOKUP($A:$A,[1]KION_IND_E_COM_LT!$A:$T,18,0),"")</f>
        <v/>
      </c>
      <c r="O949" s="14">
        <v>1</v>
      </c>
      <c r="P949" s="15">
        <f t="shared" si="14"/>
        <v>100</v>
      </c>
      <c r="Q949" s="16">
        <v>44088</v>
      </c>
      <c r="R949" s="17">
        <v>9</v>
      </c>
      <c r="S949" s="13" t="s">
        <v>0</v>
      </c>
    </row>
    <row r="950" spans="1:19" x14ac:dyDescent="0.25">
      <c r="A950" s="13">
        <v>9999564105</v>
      </c>
      <c r="B950" s="27" t="s">
        <v>264</v>
      </c>
      <c r="C950" s="28">
        <v>2</v>
      </c>
      <c r="D950" s="13">
        <v>681202</v>
      </c>
      <c r="E950" s="13" t="s">
        <v>2</v>
      </c>
      <c r="F950" s="13">
        <v>100</v>
      </c>
      <c r="G950" s="13">
        <v>100</v>
      </c>
      <c r="H950" s="13"/>
      <c r="I950" s="13">
        <v>100</v>
      </c>
      <c r="J950" s="13"/>
      <c r="K950" s="13">
        <v>0</v>
      </c>
      <c r="L950" s="22" t="s">
        <v>21</v>
      </c>
      <c r="M950" s="13" t="s">
        <v>320</v>
      </c>
      <c r="N950" s="13">
        <f>IFERROR(VLOOKUP($A:$A,[1]KION_IND_E_COM_LT!$A:$T,18,0),"")</f>
        <v>0</v>
      </c>
      <c r="O950" s="14"/>
      <c r="P950" s="15">
        <f t="shared" si="14"/>
        <v>0</v>
      </c>
      <c r="Q950" s="16" t="s">
        <v>4</v>
      </c>
      <c r="R950" s="17">
        <v>3</v>
      </c>
      <c r="S950" s="13" t="s">
        <v>0</v>
      </c>
    </row>
    <row r="951" spans="1:19" x14ac:dyDescent="0.25">
      <c r="A951" s="13">
        <v>9999564106</v>
      </c>
      <c r="B951" s="27" t="s">
        <v>264</v>
      </c>
      <c r="C951" s="28">
        <v>2</v>
      </c>
      <c r="D951" s="13">
        <v>681202</v>
      </c>
      <c r="E951" s="13" t="s">
        <v>2</v>
      </c>
      <c r="F951" s="13">
        <v>100</v>
      </c>
      <c r="G951" s="13">
        <v>100</v>
      </c>
      <c r="H951" s="13"/>
      <c r="I951" s="13"/>
      <c r="J951" s="13"/>
      <c r="K951" s="13">
        <v>100</v>
      </c>
      <c r="L951" s="22" t="s">
        <v>21</v>
      </c>
      <c r="M951" s="13" t="s">
        <v>320</v>
      </c>
      <c r="N951" s="22" t="s">
        <v>64</v>
      </c>
      <c r="O951" s="14">
        <v>1</v>
      </c>
      <c r="P951" s="15">
        <f t="shared" si="14"/>
        <v>100</v>
      </c>
      <c r="Q951" s="16" t="s">
        <v>4</v>
      </c>
      <c r="R951" s="17">
        <v>3</v>
      </c>
      <c r="S951" s="13" t="s">
        <v>0</v>
      </c>
    </row>
    <row r="952" spans="1:19" x14ac:dyDescent="0.25">
      <c r="A952" s="13">
        <v>9999564107</v>
      </c>
      <c r="B952" s="27" t="s">
        <v>264</v>
      </c>
      <c r="C952" s="28">
        <v>2</v>
      </c>
      <c r="D952" s="13">
        <v>681202</v>
      </c>
      <c r="E952" s="13" t="s">
        <v>2</v>
      </c>
      <c r="F952" s="13">
        <v>100</v>
      </c>
      <c r="G952" s="13">
        <v>100</v>
      </c>
      <c r="H952" s="13"/>
      <c r="I952" s="13"/>
      <c r="J952" s="13"/>
      <c r="K952" s="13">
        <v>100</v>
      </c>
      <c r="L952" s="22" t="s">
        <v>21</v>
      </c>
      <c r="M952" s="13" t="s">
        <v>320</v>
      </c>
      <c r="N952" s="22" t="s">
        <v>64</v>
      </c>
      <c r="O952" s="14">
        <v>1</v>
      </c>
      <c r="P952" s="15">
        <f t="shared" si="14"/>
        <v>100</v>
      </c>
      <c r="Q952" s="16">
        <v>44053</v>
      </c>
      <c r="R952" s="17">
        <v>4</v>
      </c>
      <c r="S952" s="13" t="s">
        <v>0</v>
      </c>
    </row>
    <row r="953" spans="1:19" x14ac:dyDescent="0.25">
      <c r="A953" s="13">
        <v>9999564108</v>
      </c>
      <c r="B953" s="27" t="s">
        <v>264</v>
      </c>
      <c r="C953" s="28">
        <v>2</v>
      </c>
      <c r="D953" s="13">
        <v>681202</v>
      </c>
      <c r="E953" s="13" t="s">
        <v>2</v>
      </c>
      <c r="F953" s="13">
        <v>100</v>
      </c>
      <c r="G953" s="13">
        <v>100</v>
      </c>
      <c r="H953" s="13"/>
      <c r="I953" s="13"/>
      <c r="J953" s="13"/>
      <c r="K953" s="13">
        <v>100</v>
      </c>
      <c r="L953" s="22" t="s">
        <v>21</v>
      </c>
      <c r="M953" s="13" t="s">
        <v>320</v>
      </c>
      <c r="N953" s="22" t="s">
        <v>64</v>
      </c>
      <c r="O953" s="14">
        <v>1</v>
      </c>
      <c r="P953" s="15">
        <f t="shared" si="14"/>
        <v>100</v>
      </c>
      <c r="Q953" s="16">
        <v>44053</v>
      </c>
      <c r="R953" s="17">
        <v>4</v>
      </c>
      <c r="S953" s="13" t="s">
        <v>0</v>
      </c>
    </row>
    <row r="954" spans="1:19" x14ac:dyDescent="0.25">
      <c r="A954" s="13">
        <v>9999564109</v>
      </c>
      <c r="B954" s="27" t="s">
        <v>264</v>
      </c>
      <c r="C954" s="28">
        <v>2</v>
      </c>
      <c r="D954" s="13">
        <v>681202</v>
      </c>
      <c r="E954" s="13" t="s">
        <v>2</v>
      </c>
      <c r="F954" s="13">
        <v>100</v>
      </c>
      <c r="G954" s="13">
        <v>100</v>
      </c>
      <c r="H954" s="13"/>
      <c r="I954" s="13"/>
      <c r="J954" s="13"/>
      <c r="K954" s="13">
        <v>100</v>
      </c>
      <c r="L954" s="22" t="s">
        <v>21</v>
      </c>
      <c r="M954" s="13" t="s">
        <v>320</v>
      </c>
      <c r="N954" s="22" t="s">
        <v>64</v>
      </c>
      <c r="O954" s="14">
        <v>1</v>
      </c>
      <c r="P954" s="15">
        <f t="shared" si="14"/>
        <v>100</v>
      </c>
      <c r="Q954" s="16">
        <v>44067</v>
      </c>
      <c r="R954" s="17">
        <v>6</v>
      </c>
      <c r="S954" s="13" t="s">
        <v>0</v>
      </c>
    </row>
    <row r="955" spans="1:19" x14ac:dyDescent="0.25">
      <c r="A955" s="13">
        <v>9999564110</v>
      </c>
      <c r="B955" s="27" t="s">
        <v>264</v>
      </c>
      <c r="C955" s="28">
        <v>2</v>
      </c>
      <c r="D955" s="13">
        <v>681202</v>
      </c>
      <c r="E955" s="13" t="s">
        <v>2</v>
      </c>
      <c r="F955" s="13">
        <v>100</v>
      </c>
      <c r="G955" s="13">
        <v>100</v>
      </c>
      <c r="H955" s="13"/>
      <c r="I955" s="13"/>
      <c r="J955" s="13"/>
      <c r="K955" s="13">
        <v>100</v>
      </c>
      <c r="L955" s="22" t="s">
        <v>21</v>
      </c>
      <c r="M955" s="13" t="s">
        <v>320</v>
      </c>
      <c r="N955" s="22" t="s">
        <v>64</v>
      </c>
      <c r="O955" s="14">
        <v>1</v>
      </c>
      <c r="P955" s="15">
        <f t="shared" si="14"/>
        <v>100</v>
      </c>
      <c r="Q955" s="16">
        <v>44067</v>
      </c>
      <c r="R955" s="17">
        <v>6</v>
      </c>
      <c r="S955" s="13" t="s">
        <v>0</v>
      </c>
    </row>
    <row r="956" spans="1:19" x14ac:dyDescent="0.25">
      <c r="A956" s="13">
        <v>9999564111</v>
      </c>
      <c r="B956" s="27" t="s">
        <v>264</v>
      </c>
      <c r="C956" s="28">
        <v>2</v>
      </c>
      <c r="D956" s="13">
        <v>681202</v>
      </c>
      <c r="E956" s="13" t="s">
        <v>2</v>
      </c>
      <c r="F956" s="13">
        <v>100</v>
      </c>
      <c r="G956" s="13">
        <v>100</v>
      </c>
      <c r="H956" s="13"/>
      <c r="I956" s="13"/>
      <c r="J956" s="13"/>
      <c r="K956" s="13">
        <v>100</v>
      </c>
      <c r="L956" s="22" t="s">
        <v>21</v>
      </c>
      <c r="M956" s="13" t="s">
        <v>320</v>
      </c>
      <c r="N956" s="22" t="s">
        <v>64</v>
      </c>
      <c r="O956" s="14">
        <v>1</v>
      </c>
      <c r="P956" s="15">
        <f t="shared" si="14"/>
        <v>100</v>
      </c>
      <c r="Q956" s="16">
        <v>44074</v>
      </c>
      <c r="R956" s="17">
        <v>7</v>
      </c>
      <c r="S956" s="13" t="s">
        <v>0</v>
      </c>
    </row>
    <row r="957" spans="1:19" x14ac:dyDescent="0.25">
      <c r="A957" s="13">
        <v>9999564112</v>
      </c>
      <c r="B957" s="27" t="s">
        <v>264</v>
      </c>
      <c r="C957" s="28">
        <v>2</v>
      </c>
      <c r="D957" s="13">
        <v>681202</v>
      </c>
      <c r="E957" s="13" t="s">
        <v>2</v>
      </c>
      <c r="F957" s="13">
        <v>100</v>
      </c>
      <c r="G957" s="13">
        <v>100</v>
      </c>
      <c r="H957" s="13"/>
      <c r="I957" s="13"/>
      <c r="J957" s="13"/>
      <c r="K957" s="13">
        <v>100</v>
      </c>
      <c r="L957" s="22" t="s">
        <v>21</v>
      </c>
      <c r="M957" s="13" t="s">
        <v>320</v>
      </c>
      <c r="N957" s="22" t="s">
        <v>64</v>
      </c>
      <c r="O957" s="14">
        <v>1</v>
      </c>
      <c r="P957" s="15">
        <f t="shared" si="14"/>
        <v>100</v>
      </c>
      <c r="Q957" s="16">
        <v>44074</v>
      </c>
      <c r="R957" s="17">
        <v>7</v>
      </c>
      <c r="S957" s="13" t="s">
        <v>0</v>
      </c>
    </row>
    <row r="958" spans="1:19" x14ac:dyDescent="0.25">
      <c r="A958" s="13">
        <v>9999564113</v>
      </c>
      <c r="B958" s="27" t="s">
        <v>264</v>
      </c>
      <c r="C958" s="28">
        <v>2</v>
      </c>
      <c r="D958" s="13">
        <v>681202</v>
      </c>
      <c r="E958" s="13" t="s">
        <v>2</v>
      </c>
      <c r="F958" s="13">
        <v>100</v>
      </c>
      <c r="G958" s="13">
        <v>100</v>
      </c>
      <c r="H958" s="13"/>
      <c r="I958" s="13"/>
      <c r="J958" s="13"/>
      <c r="K958" s="13">
        <v>100</v>
      </c>
      <c r="L958" s="22" t="s">
        <v>21</v>
      </c>
      <c r="M958" s="13" t="s">
        <v>320</v>
      </c>
      <c r="N958" s="22" t="s">
        <v>64</v>
      </c>
      <c r="O958" s="14">
        <v>1</v>
      </c>
      <c r="P958" s="15">
        <f t="shared" si="14"/>
        <v>100</v>
      </c>
      <c r="Q958" s="16">
        <v>44081</v>
      </c>
      <c r="R958" s="17">
        <v>8</v>
      </c>
      <c r="S958" s="13" t="s">
        <v>0</v>
      </c>
    </row>
    <row r="959" spans="1:19" x14ac:dyDescent="0.25">
      <c r="A959" s="13">
        <v>9999564114</v>
      </c>
      <c r="B959" s="27" t="s">
        <v>264</v>
      </c>
      <c r="C959" s="28">
        <v>2</v>
      </c>
      <c r="D959" s="13">
        <v>681202</v>
      </c>
      <c r="E959" s="13" t="s">
        <v>2</v>
      </c>
      <c r="F959" s="13">
        <v>100</v>
      </c>
      <c r="G959" s="13">
        <v>100</v>
      </c>
      <c r="H959" s="13"/>
      <c r="I959" s="13"/>
      <c r="J959" s="13"/>
      <c r="K959" s="13">
        <v>100</v>
      </c>
      <c r="L959" s="22" t="s">
        <v>21</v>
      </c>
      <c r="M959" s="13" t="s">
        <v>320</v>
      </c>
      <c r="N959" s="22" t="s">
        <v>64</v>
      </c>
      <c r="O959" s="14">
        <v>1</v>
      </c>
      <c r="P959" s="15">
        <f t="shared" si="14"/>
        <v>100</v>
      </c>
      <c r="Q959" s="16">
        <v>44081</v>
      </c>
      <c r="R959" s="17">
        <v>8</v>
      </c>
      <c r="S959" s="13" t="s">
        <v>0</v>
      </c>
    </row>
    <row r="960" spans="1:19" x14ac:dyDescent="0.25">
      <c r="A960" s="13">
        <v>9999564115</v>
      </c>
      <c r="B960" s="27" t="s">
        <v>264</v>
      </c>
      <c r="C960" s="28">
        <v>2</v>
      </c>
      <c r="D960" s="13">
        <v>681202</v>
      </c>
      <c r="E960" s="13" t="s">
        <v>2</v>
      </c>
      <c r="F960" s="13">
        <v>100</v>
      </c>
      <c r="G960" s="13">
        <v>100</v>
      </c>
      <c r="H960" s="13"/>
      <c r="I960" s="13"/>
      <c r="J960" s="13"/>
      <c r="K960" s="13">
        <v>100</v>
      </c>
      <c r="L960" s="22" t="s">
        <v>21</v>
      </c>
      <c r="M960" s="13" t="s">
        <v>320</v>
      </c>
      <c r="N960" s="22" t="s">
        <v>64</v>
      </c>
      <c r="O960" s="14">
        <v>1</v>
      </c>
      <c r="P960" s="15">
        <f t="shared" si="14"/>
        <v>100</v>
      </c>
      <c r="Q960" s="16">
        <v>44081</v>
      </c>
      <c r="R960" s="17">
        <v>8</v>
      </c>
      <c r="S960" s="13" t="s">
        <v>0</v>
      </c>
    </row>
    <row r="961" spans="1:19" x14ac:dyDescent="0.25">
      <c r="A961" s="13">
        <v>12108000195</v>
      </c>
      <c r="B961" s="27" t="s">
        <v>190</v>
      </c>
      <c r="C961" s="28">
        <v>2</v>
      </c>
      <c r="D961" s="13">
        <v>681202</v>
      </c>
      <c r="E961" s="13" t="s">
        <v>2</v>
      </c>
      <c r="F961" s="13">
        <v>100</v>
      </c>
      <c r="G961" s="13">
        <v>100</v>
      </c>
      <c r="H961" s="13"/>
      <c r="I961" s="13"/>
      <c r="J961" s="13">
        <v>100</v>
      </c>
      <c r="K961" s="13">
        <v>0</v>
      </c>
      <c r="L961" s="22" t="s">
        <v>21</v>
      </c>
      <c r="M961" s="13" t="s">
        <v>320</v>
      </c>
      <c r="N961" s="13">
        <f>IFERROR(VLOOKUP($A:$A,[1]KION_IND_E_COM_LT!$A:$T,18,0),"")</f>
        <v>0</v>
      </c>
      <c r="O961" s="14"/>
      <c r="P961" s="15">
        <f t="shared" si="14"/>
        <v>0</v>
      </c>
      <c r="Q961" s="16"/>
      <c r="R961" s="17">
        <v>6</v>
      </c>
      <c r="S961" s="13" t="s">
        <v>0</v>
      </c>
    </row>
    <row r="962" spans="1:19" x14ac:dyDescent="0.25">
      <c r="A962" s="13">
        <v>12108000196</v>
      </c>
      <c r="B962" s="27" t="s">
        <v>190</v>
      </c>
      <c r="C962" s="28">
        <v>2</v>
      </c>
      <c r="D962" s="13">
        <v>681202</v>
      </c>
      <c r="E962" s="13" t="s">
        <v>2</v>
      </c>
      <c r="F962" s="13">
        <v>100</v>
      </c>
      <c r="G962" s="13">
        <v>100</v>
      </c>
      <c r="H962" s="13"/>
      <c r="I962" s="13"/>
      <c r="J962" s="13">
        <v>100</v>
      </c>
      <c r="K962" s="13">
        <v>0</v>
      </c>
      <c r="L962" s="22" t="s">
        <v>21</v>
      </c>
      <c r="M962" s="13" t="s">
        <v>320</v>
      </c>
      <c r="N962" s="13">
        <f>IFERROR(VLOOKUP($A:$A,[1]KION_IND_E_COM_LT!$A:$T,18,0),"")</f>
        <v>0</v>
      </c>
      <c r="O962" s="14"/>
      <c r="P962" s="15">
        <f t="shared" si="14"/>
        <v>0</v>
      </c>
      <c r="Q962" s="16"/>
      <c r="R962" s="17">
        <v>6</v>
      </c>
      <c r="S962" s="13" t="s">
        <v>0</v>
      </c>
    </row>
    <row r="963" spans="1:19" x14ac:dyDescent="0.25">
      <c r="A963" s="13">
        <v>12108000197</v>
      </c>
      <c r="B963" s="27" t="s">
        <v>190</v>
      </c>
      <c r="C963" s="28">
        <v>2</v>
      </c>
      <c r="D963" s="13">
        <v>681202</v>
      </c>
      <c r="E963" s="13" t="s">
        <v>2</v>
      </c>
      <c r="F963" s="13">
        <v>100</v>
      </c>
      <c r="G963" s="13">
        <v>100</v>
      </c>
      <c r="H963" s="13"/>
      <c r="I963" s="13"/>
      <c r="J963" s="13">
        <v>100</v>
      </c>
      <c r="K963" s="13">
        <v>0</v>
      </c>
      <c r="L963" s="22" t="s">
        <v>21</v>
      </c>
      <c r="M963" s="13" t="s">
        <v>320</v>
      </c>
      <c r="N963" s="13">
        <f>IFERROR(VLOOKUP($A:$A,[1]KION_IND_E_COM_LT!$A:$T,18,0),"")</f>
        <v>0</v>
      </c>
      <c r="O963" s="14"/>
      <c r="P963" s="15">
        <f t="shared" ref="P963:P1026" si="15">K963*O963</f>
        <v>0</v>
      </c>
      <c r="Q963" s="16"/>
      <c r="R963" s="17">
        <v>6</v>
      </c>
      <c r="S963" s="13" t="s">
        <v>0</v>
      </c>
    </row>
    <row r="964" spans="1:19" x14ac:dyDescent="0.25">
      <c r="A964" s="13">
        <v>12108000198</v>
      </c>
      <c r="B964" s="27" t="s">
        <v>190</v>
      </c>
      <c r="C964" s="28">
        <v>2</v>
      </c>
      <c r="D964" s="13">
        <v>681202</v>
      </c>
      <c r="E964" s="13" t="s">
        <v>2</v>
      </c>
      <c r="F964" s="13">
        <v>160</v>
      </c>
      <c r="G964" s="13">
        <v>160</v>
      </c>
      <c r="H964" s="13"/>
      <c r="I964" s="13"/>
      <c r="J964" s="13">
        <v>160</v>
      </c>
      <c r="K964" s="13">
        <v>0</v>
      </c>
      <c r="L964" s="22" t="s">
        <v>21</v>
      </c>
      <c r="M964" s="13" t="s">
        <v>320</v>
      </c>
      <c r="N964" s="13">
        <f>IFERROR(VLOOKUP($A:$A,[1]KION_IND_E_COM_LT!$A:$T,18,0),"")</f>
        <v>0</v>
      </c>
      <c r="O964" s="14"/>
      <c r="P964" s="15">
        <f t="shared" si="15"/>
        <v>0</v>
      </c>
      <c r="Q964" s="16"/>
      <c r="R964" s="17">
        <v>6</v>
      </c>
      <c r="S964" s="13" t="s">
        <v>0</v>
      </c>
    </row>
    <row r="965" spans="1:19" x14ac:dyDescent="0.25">
      <c r="A965" s="13">
        <v>12108000199</v>
      </c>
      <c r="B965" s="27" t="s">
        <v>190</v>
      </c>
      <c r="C965" s="28">
        <v>2</v>
      </c>
      <c r="D965" s="13">
        <v>681202</v>
      </c>
      <c r="E965" s="13" t="s">
        <v>2</v>
      </c>
      <c r="F965" s="13">
        <v>100</v>
      </c>
      <c r="G965" s="13">
        <v>100</v>
      </c>
      <c r="H965" s="13"/>
      <c r="I965" s="13"/>
      <c r="J965" s="13"/>
      <c r="K965" s="13">
        <v>100</v>
      </c>
      <c r="L965" s="22" t="s">
        <v>21</v>
      </c>
      <c r="M965" s="13" t="s">
        <v>320</v>
      </c>
      <c r="N965" s="22" t="s">
        <v>64</v>
      </c>
      <c r="O965" s="14">
        <v>1</v>
      </c>
      <c r="P965" s="15">
        <f t="shared" si="15"/>
        <v>100</v>
      </c>
      <c r="Q965" s="16">
        <v>44067</v>
      </c>
      <c r="R965" s="17">
        <v>6</v>
      </c>
      <c r="S965" s="13" t="s">
        <v>0</v>
      </c>
    </row>
    <row r="966" spans="1:19" x14ac:dyDescent="0.25">
      <c r="A966" s="13">
        <v>12108000200</v>
      </c>
      <c r="B966" s="27" t="s">
        <v>190</v>
      </c>
      <c r="C966" s="28">
        <v>2</v>
      </c>
      <c r="D966" s="13">
        <v>681202</v>
      </c>
      <c r="E966" s="13" t="s">
        <v>2</v>
      </c>
      <c r="F966" s="13">
        <v>100</v>
      </c>
      <c r="G966" s="13">
        <v>100</v>
      </c>
      <c r="H966" s="13"/>
      <c r="I966" s="13"/>
      <c r="J966" s="13"/>
      <c r="K966" s="13">
        <v>100</v>
      </c>
      <c r="L966" s="22" t="s">
        <v>21</v>
      </c>
      <c r="M966" s="13" t="s">
        <v>320</v>
      </c>
      <c r="N966" s="22" t="s">
        <v>64</v>
      </c>
      <c r="O966" s="14">
        <v>1</v>
      </c>
      <c r="P966" s="15">
        <f t="shared" si="15"/>
        <v>100</v>
      </c>
      <c r="Q966" s="16">
        <v>44067</v>
      </c>
      <c r="R966" s="17">
        <v>6</v>
      </c>
      <c r="S966" s="13" t="s">
        <v>0</v>
      </c>
    </row>
    <row r="967" spans="1:19" x14ac:dyDescent="0.25">
      <c r="A967" s="13">
        <v>12108000201</v>
      </c>
      <c r="B967" s="27" t="s">
        <v>190</v>
      </c>
      <c r="C967" s="28">
        <v>2</v>
      </c>
      <c r="D967" s="13">
        <v>681202</v>
      </c>
      <c r="E967" s="13" t="s">
        <v>2</v>
      </c>
      <c r="F967" s="13">
        <v>100</v>
      </c>
      <c r="G967" s="13">
        <v>100</v>
      </c>
      <c r="H967" s="13"/>
      <c r="I967" s="13"/>
      <c r="J967" s="13"/>
      <c r="K967" s="13">
        <v>100</v>
      </c>
      <c r="L967" s="22" t="s">
        <v>21</v>
      </c>
      <c r="M967" s="13" t="s">
        <v>320</v>
      </c>
      <c r="N967" s="22" t="s">
        <v>64</v>
      </c>
      <c r="O967" s="14">
        <v>1</v>
      </c>
      <c r="P967" s="15">
        <f t="shared" si="15"/>
        <v>100</v>
      </c>
      <c r="Q967" s="16">
        <v>44067</v>
      </c>
      <c r="R967" s="17">
        <v>6</v>
      </c>
      <c r="S967" s="13" t="s">
        <v>0</v>
      </c>
    </row>
    <row r="968" spans="1:19" x14ac:dyDescent="0.25">
      <c r="A968" s="13">
        <v>12108000202</v>
      </c>
      <c r="B968" s="27" t="s">
        <v>190</v>
      </c>
      <c r="C968" s="28">
        <v>2</v>
      </c>
      <c r="D968" s="13">
        <v>681202</v>
      </c>
      <c r="E968" s="13" t="s">
        <v>2</v>
      </c>
      <c r="F968" s="13">
        <v>100</v>
      </c>
      <c r="G968" s="13">
        <v>100</v>
      </c>
      <c r="H968" s="13"/>
      <c r="I968" s="13"/>
      <c r="J968" s="13"/>
      <c r="K968" s="13">
        <v>100</v>
      </c>
      <c r="L968" s="22" t="s">
        <v>21</v>
      </c>
      <c r="M968" s="13" t="s">
        <v>320</v>
      </c>
      <c r="N968" s="22" t="s">
        <v>64</v>
      </c>
      <c r="O968" s="14">
        <v>1</v>
      </c>
      <c r="P968" s="15">
        <f t="shared" si="15"/>
        <v>100</v>
      </c>
      <c r="Q968" s="16">
        <v>44074</v>
      </c>
      <c r="R968" s="17">
        <v>7</v>
      </c>
      <c r="S968" s="13" t="s">
        <v>0</v>
      </c>
    </row>
    <row r="969" spans="1:19" x14ac:dyDescent="0.25">
      <c r="A969" s="13">
        <v>12108000203</v>
      </c>
      <c r="B969" s="27" t="s">
        <v>190</v>
      </c>
      <c r="C969" s="28">
        <v>2</v>
      </c>
      <c r="D969" s="13">
        <v>681202</v>
      </c>
      <c r="E969" s="13" t="s">
        <v>2</v>
      </c>
      <c r="F969" s="13">
        <v>100</v>
      </c>
      <c r="G969" s="13">
        <v>100</v>
      </c>
      <c r="H969" s="13"/>
      <c r="I969" s="13"/>
      <c r="J969" s="13"/>
      <c r="K969" s="13">
        <v>100</v>
      </c>
      <c r="L969" s="22" t="s">
        <v>21</v>
      </c>
      <c r="M969" s="13" t="s">
        <v>320</v>
      </c>
      <c r="N969" s="22" t="s">
        <v>64</v>
      </c>
      <c r="O969" s="14">
        <v>1</v>
      </c>
      <c r="P969" s="15">
        <f t="shared" si="15"/>
        <v>100</v>
      </c>
      <c r="Q969" s="16">
        <v>44074</v>
      </c>
      <c r="R969" s="17">
        <v>7</v>
      </c>
      <c r="S969" s="13" t="s">
        <v>0</v>
      </c>
    </row>
    <row r="970" spans="1:19" x14ac:dyDescent="0.25">
      <c r="A970" s="13">
        <v>12108000204</v>
      </c>
      <c r="B970" s="27" t="s">
        <v>190</v>
      </c>
      <c r="C970" s="28">
        <v>2</v>
      </c>
      <c r="D970" s="13">
        <v>681202</v>
      </c>
      <c r="E970" s="13" t="s">
        <v>2</v>
      </c>
      <c r="F970" s="13">
        <v>100</v>
      </c>
      <c r="G970" s="13">
        <v>100</v>
      </c>
      <c r="H970" s="13"/>
      <c r="I970" s="13"/>
      <c r="J970" s="13"/>
      <c r="K970" s="13">
        <v>100</v>
      </c>
      <c r="L970" s="22" t="s">
        <v>21</v>
      </c>
      <c r="M970" s="13" t="s">
        <v>61</v>
      </c>
      <c r="N970" s="13">
        <f>IFERROR(VLOOKUP($A:$A,[1]KION_IND_E_COM_LT!$A:$T,18,0),"")</f>
        <v>0</v>
      </c>
      <c r="O970" s="14">
        <v>1</v>
      </c>
      <c r="P970" s="15">
        <f t="shared" si="15"/>
        <v>100</v>
      </c>
      <c r="Q970" s="16">
        <v>44081</v>
      </c>
      <c r="R970" s="17">
        <v>8</v>
      </c>
      <c r="S970" s="13" t="s">
        <v>0</v>
      </c>
    </row>
    <row r="971" spans="1:19" x14ac:dyDescent="0.25">
      <c r="A971" s="13">
        <v>12108000205</v>
      </c>
      <c r="B971" s="27" t="s">
        <v>190</v>
      </c>
      <c r="C971" s="28">
        <v>2</v>
      </c>
      <c r="D971" s="13">
        <v>681202</v>
      </c>
      <c r="E971" s="13" t="s">
        <v>2</v>
      </c>
      <c r="F971" s="13">
        <v>100</v>
      </c>
      <c r="G971" s="13">
        <v>100</v>
      </c>
      <c r="H971" s="13"/>
      <c r="I971" s="13"/>
      <c r="J971" s="13"/>
      <c r="K971" s="13">
        <v>100</v>
      </c>
      <c r="L971" s="22" t="s">
        <v>21</v>
      </c>
      <c r="M971" s="13" t="s">
        <v>61</v>
      </c>
      <c r="N971" s="13">
        <f>IFERROR(VLOOKUP($A:$A,[1]KION_IND_E_COM_LT!$A:$T,18,0),"")</f>
        <v>0</v>
      </c>
      <c r="O971" s="14">
        <v>1</v>
      </c>
      <c r="P971" s="15">
        <f t="shared" si="15"/>
        <v>100</v>
      </c>
      <c r="Q971" s="16">
        <v>44081</v>
      </c>
      <c r="R971" s="17">
        <v>8</v>
      </c>
      <c r="S971" s="13" t="s">
        <v>0</v>
      </c>
    </row>
    <row r="972" spans="1:19" x14ac:dyDescent="0.25">
      <c r="A972" s="13">
        <v>12108000206</v>
      </c>
      <c r="B972" s="27" t="s">
        <v>190</v>
      </c>
      <c r="C972" s="28">
        <v>2</v>
      </c>
      <c r="D972" s="13">
        <v>681202</v>
      </c>
      <c r="E972" s="13" t="s">
        <v>2</v>
      </c>
      <c r="F972" s="13">
        <v>100</v>
      </c>
      <c r="G972" s="13">
        <v>100</v>
      </c>
      <c r="H972" s="13"/>
      <c r="I972" s="13"/>
      <c r="J972" s="13"/>
      <c r="K972" s="13">
        <v>100</v>
      </c>
      <c r="L972" s="22" t="s">
        <v>21</v>
      </c>
      <c r="M972" s="13" t="s">
        <v>61</v>
      </c>
      <c r="N972" s="13">
        <f>IFERROR(VLOOKUP($A:$A,[1]KION_IND_E_COM_LT!$A:$T,18,0),"")</f>
        <v>0</v>
      </c>
      <c r="O972" s="14">
        <v>1</v>
      </c>
      <c r="P972" s="15">
        <f t="shared" si="15"/>
        <v>100</v>
      </c>
      <c r="Q972" s="16">
        <v>44081</v>
      </c>
      <c r="R972" s="17">
        <v>8</v>
      </c>
      <c r="S972" s="13" t="s">
        <v>0</v>
      </c>
    </row>
    <row r="973" spans="1:19" x14ac:dyDescent="0.25">
      <c r="A973" s="13">
        <v>12108000207</v>
      </c>
      <c r="B973" s="27" t="s">
        <v>190</v>
      </c>
      <c r="C973" s="28">
        <v>2</v>
      </c>
      <c r="D973" s="13">
        <v>681202</v>
      </c>
      <c r="E973" s="13" t="s">
        <v>2</v>
      </c>
      <c r="F973" s="13">
        <v>100</v>
      </c>
      <c r="G973" s="13">
        <v>100</v>
      </c>
      <c r="H973" s="13"/>
      <c r="I973" s="13"/>
      <c r="J973" s="13"/>
      <c r="K973" s="13">
        <v>100</v>
      </c>
      <c r="L973" s="22" t="s">
        <v>21</v>
      </c>
      <c r="M973" s="13" t="s">
        <v>61</v>
      </c>
      <c r="N973" s="13">
        <f>IFERROR(VLOOKUP($A:$A,[1]KION_IND_E_COM_LT!$A:$T,18,0),"")</f>
        <v>0</v>
      </c>
      <c r="O973" s="14">
        <v>1</v>
      </c>
      <c r="P973" s="15">
        <f t="shared" si="15"/>
        <v>100</v>
      </c>
      <c r="Q973" s="16">
        <v>44081</v>
      </c>
      <c r="R973" s="17">
        <v>8</v>
      </c>
      <c r="S973" s="13" t="s">
        <v>0</v>
      </c>
    </row>
    <row r="974" spans="1:19" x14ac:dyDescent="0.25">
      <c r="A974" s="13">
        <v>12108000208</v>
      </c>
      <c r="B974" s="27" t="s">
        <v>190</v>
      </c>
      <c r="C974" s="28">
        <v>2</v>
      </c>
      <c r="D974" s="13">
        <v>681202</v>
      </c>
      <c r="E974" s="13" t="s">
        <v>2</v>
      </c>
      <c r="F974" s="13">
        <v>100</v>
      </c>
      <c r="G974" s="13">
        <v>100</v>
      </c>
      <c r="H974" s="13"/>
      <c r="I974" s="13"/>
      <c r="J974" s="13"/>
      <c r="K974" s="13">
        <v>100</v>
      </c>
      <c r="L974" s="22" t="s">
        <v>21</v>
      </c>
      <c r="M974" s="13" t="s">
        <v>61</v>
      </c>
      <c r="N974" s="13">
        <f>IFERROR(VLOOKUP($A:$A,[1]KION_IND_E_COM_LT!$A:$T,18,0),"")</f>
        <v>0</v>
      </c>
      <c r="O974" s="14">
        <v>1</v>
      </c>
      <c r="P974" s="15">
        <f t="shared" si="15"/>
        <v>100</v>
      </c>
      <c r="Q974" s="16">
        <v>44088</v>
      </c>
      <c r="R974" s="17">
        <v>9</v>
      </c>
      <c r="S974" s="13" t="s">
        <v>0</v>
      </c>
    </row>
    <row r="975" spans="1:19" x14ac:dyDescent="0.25">
      <c r="A975" s="13">
        <v>12108000209</v>
      </c>
      <c r="B975" s="27" t="s">
        <v>190</v>
      </c>
      <c r="C975" s="28">
        <v>2</v>
      </c>
      <c r="D975" s="13">
        <v>681202</v>
      </c>
      <c r="E975" s="13" t="s">
        <v>2</v>
      </c>
      <c r="F975" s="13">
        <v>100</v>
      </c>
      <c r="G975" s="13">
        <v>100</v>
      </c>
      <c r="H975" s="13"/>
      <c r="I975" s="13"/>
      <c r="J975" s="13"/>
      <c r="K975" s="13">
        <v>100</v>
      </c>
      <c r="L975" s="22" t="s">
        <v>21</v>
      </c>
      <c r="M975" s="13" t="s">
        <v>61</v>
      </c>
      <c r="N975" s="13">
        <f>IFERROR(VLOOKUP($A:$A,[1]KION_IND_E_COM_LT!$A:$T,18,0),"")</f>
        <v>0</v>
      </c>
      <c r="O975" s="14">
        <v>1</v>
      </c>
      <c r="P975" s="15">
        <f t="shared" si="15"/>
        <v>100</v>
      </c>
      <c r="Q975" s="16">
        <v>44088</v>
      </c>
      <c r="R975" s="17">
        <v>9</v>
      </c>
      <c r="S975" s="13" t="s">
        <v>0</v>
      </c>
    </row>
    <row r="976" spans="1:19" x14ac:dyDescent="0.25">
      <c r="A976" s="13">
        <v>70852500451</v>
      </c>
      <c r="B976" s="27" t="s">
        <v>75</v>
      </c>
      <c r="C976" s="28">
        <v>6</v>
      </c>
      <c r="D976" s="13">
        <v>681202</v>
      </c>
      <c r="E976" s="13" t="s">
        <v>2</v>
      </c>
      <c r="F976" s="13">
        <v>100</v>
      </c>
      <c r="G976" s="13">
        <v>100</v>
      </c>
      <c r="H976" s="13"/>
      <c r="I976" s="13"/>
      <c r="J976" s="13"/>
      <c r="K976" s="13">
        <v>100</v>
      </c>
      <c r="L976" s="22" t="s">
        <v>21</v>
      </c>
      <c r="M976" s="13" t="s">
        <v>27</v>
      </c>
      <c r="N976" s="13">
        <f>IFERROR(VLOOKUP($A:$A,[1]KION_IND_E_COM_LT!$A:$T,18,0),"")</f>
        <v>0</v>
      </c>
      <c r="O976" s="14">
        <v>1</v>
      </c>
      <c r="P976" s="15">
        <f t="shared" si="15"/>
        <v>100</v>
      </c>
      <c r="Q976" s="16">
        <v>44081</v>
      </c>
      <c r="R976" s="17">
        <v>8</v>
      </c>
      <c r="S976" s="13" t="s">
        <v>0</v>
      </c>
    </row>
    <row r="977" spans="1:19" x14ac:dyDescent="0.25">
      <c r="A977" s="13">
        <v>70852500452</v>
      </c>
      <c r="B977" s="27" t="s">
        <v>75</v>
      </c>
      <c r="C977" s="28">
        <v>6</v>
      </c>
      <c r="D977" s="13">
        <v>681202</v>
      </c>
      <c r="E977" s="13" t="s">
        <v>2</v>
      </c>
      <c r="F977" s="13">
        <v>100</v>
      </c>
      <c r="G977" s="13">
        <v>100</v>
      </c>
      <c r="H977" s="13"/>
      <c r="I977" s="13"/>
      <c r="J977" s="13"/>
      <c r="K977" s="13">
        <v>100</v>
      </c>
      <c r="L977" s="22" t="s">
        <v>21</v>
      </c>
      <c r="M977" s="13" t="s">
        <v>27</v>
      </c>
      <c r="N977" s="13">
        <f>IFERROR(VLOOKUP($A:$A,[1]KION_IND_E_COM_LT!$A:$T,18,0),"")</f>
        <v>0</v>
      </c>
      <c r="O977" s="14">
        <v>1</v>
      </c>
      <c r="P977" s="15">
        <f t="shared" si="15"/>
        <v>100</v>
      </c>
      <c r="Q977" s="16" t="s">
        <v>3</v>
      </c>
      <c r="R977" s="17" t="s">
        <v>3</v>
      </c>
      <c r="S977" s="13" t="s">
        <v>0</v>
      </c>
    </row>
    <row r="978" spans="1:19" x14ac:dyDescent="0.25">
      <c r="A978" s="13">
        <v>70857000350</v>
      </c>
      <c r="B978" s="27" t="s">
        <v>79</v>
      </c>
      <c r="C978" s="28">
        <v>4</v>
      </c>
      <c r="D978" s="13">
        <v>681202</v>
      </c>
      <c r="E978" s="13" t="s">
        <v>2</v>
      </c>
      <c r="F978" s="13">
        <v>100</v>
      </c>
      <c r="G978" s="13">
        <v>100</v>
      </c>
      <c r="H978" s="13"/>
      <c r="I978" s="13"/>
      <c r="J978" s="13">
        <v>100</v>
      </c>
      <c r="K978" s="13">
        <v>0</v>
      </c>
      <c r="L978" s="22" t="s">
        <v>21</v>
      </c>
      <c r="M978" s="13" t="s">
        <v>320</v>
      </c>
      <c r="N978" s="13">
        <f>IFERROR(VLOOKUP($A:$A,[1]KION_IND_E_COM_LT!$A:$T,18,0),"")</f>
        <v>0</v>
      </c>
      <c r="O978" s="14"/>
      <c r="P978" s="15">
        <f t="shared" si="15"/>
        <v>0</v>
      </c>
      <c r="Q978" s="16"/>
      <c r="R978" s="17" t="s">
        <v>3</v>
      </c>
      <c r="S978" s="13" t="s">
        <v>0</v>
      </c>
    </row>
    <row r="979" spans="1:19" x14ac:dyDescent="0.25">
      <c r="A979" s="13">
        <v>70857000351</v>
      </c>
      <c r="B979" s="27" t="s">
        <v>79</v>
      </c>
      <c r="C979" s="28">
        <v>4</v>
      </c>
      <c r="D979" s="13">
        <v>681202</v>
      </c>
      <c r="E979" s="13" t="s">
        <v>2</v>
      </c>
      <c r="F979" s="13">
        <v>100</v>
      </c>
      <c r="G979" s="13">
        <v>100</v>
      </c>
      <c r="H979" s="13"/>
      <c r="I979" s="13"/>
      <c r="J979" s="13">
        <v>100</v>
      </c>
      <c r="K979" s="13">
        <v>0</v>
      </c>
      <c r="L979" s="22" t="s">
        <v>21</v>
      </c>
      <c r="M979" s="13" t="s">
        <v>320</v>
      </c>
      <c r="N979" s="13">
        <f>IFERROR(VLOOKUP($A:$A,[1]KION_IND_E_COM_LT!$A:$T,18,0),"")</f>
        <v>0</v>
      </c>
      <c r="O979" s="14"/>
      <c r="P979" s="15">
        <f t="shared" si="15"/>
        <v>0</v>
      </c>
      <c r="Q979" s="16"/>
      <c r="R979" s="17" t="s">
        <v>3</v>
      </c>
      <c r="S979" s="13" t="s">
        <v>0</v>
      </c>
    </row>
    <row r="980" spans="1:19" x14ac:dyDescent="0.25">
      <c r="A980" s="13">
        <v>70857000352</v>
      </c>
      <c r="B980" s="27" t="s">
        <v>79</v>
      </c>
      <c r="C980" s="28">
        <v>4</v>
      </c>
      <c r="D980" s="13">
        <v>681202</v>
      </c>
      <c r="E980" s="13" t="s">
        <v>2</v>
      </c>
      <c r="F980" s="13">
        <v>100</v>
      </c>
      <c r="G980" s="13">
        <v>100</v>
      </c>
      <c r="H980" s="13"/>
      <c r="I980" s="13"/>
      <c r="J980" s="13"/>
      <c r="K980" s="13">
        <v>100</v>
      </c>
      <c r="L980" s="22" t="s">
        <v>21</v>
      </c>
      <c r="M980" s="13" t="s">
        <v>320</v>
      </c>
      <c r="N980" s="22" t="s">
        <v>64</v>
      </c>
      <c r="O980" s="14">
        <v>1</v>
      </c>
      <c r="P980" s="15">
        <f t="shared" si="15"/>
        <v>100</v>
      </c>
      <c r="Q980" s="16" t="s">
        <v>3</v>
      </c>
      <c r="R980" s="17" t="s">
        <v>3</v>
      </c>
      <c r="S980" s="13" t="s">
        <v>0</v>
      </c>
    </row>
    <row r="981" spans="1:19" x14ac:dyDescent="0.25">
      <c r="A981" s="13">
        <v>70857200431</v>
      </c>
      <c r="B981" s="27" t="s">
        <v>85</v>
      </c>
      <c r="C981" s="28">
        <v>0</v>
      </c>
      <c r="D981" s="13">
        <v>681202</v>
      </c>
      <c r="E981" s="13" t="s">
        <v>2</v>
      </c>
      <c r="F981" s="13">
        <v>100</v>
      </c>
      <c r="G981" s="13">
        <v>100</v>
      </c>
      <c r="H981" s="13"/>
      <c r="I981" s="13"/>
      <c r="J981" s="13">
        <v>100</v>
      </c>
      <c r="K981" s="13">
        <v>0</v>
      </c>
      <c r="L981" s="22" t="s">
        <v>21</v>
      </c>
      <c r="M981" s="13" t="s">
        <v>27</v>
      </c>
      <c r="N981" s="13">
        <f>IFERROR(VLOOKUP($A:$A,[1]KION_IND_E_COM_LT!$A:$T,18,0),"")</f>
        <v>0</v>
      </c>
      <c r="O981" s="14"/>
      <c r="P981" s="15">
        <f t="shared" si="15"/>
        <v>0</v>
      </c>
      <c r="Q981" s="16"/>
      <c r="R981" s="17" t="s">
        <v>3</v>
      </c>
      <c r="S981" s="13" t="s">
        <v>0</v>
      </c>
    </row>
    <row r="982" spans="1:19" x14ac:dyDescent="0.25">
      <c r="A982" s="13">
        <v>70857200432</v>
      </c>
      <c r="B982" s="27" t="s">
        <v>85</v>
      </c>
      <c r="C982" s="28">
        <v>0</v>
      </c>
      <c r="D982" s="13">
        <v>681202</v>
      </c>
      <c r="E982" s="13" t="s">
        <v>2</v>
      </c>
      <c r="F982" s="13">
        <v>100</v>
      </c>
      <c r="G982" s="13">
        <v>100</v>
      </c>
      <c r="H982" s="13"/>
      <c r="I982" s="13"/>
      <c r="J982" s="13"/>
      <c r="K982" s="13">
        <v>100</v>
      </c>
      <c r="L982" s="22" t="s">
        <v>21</v>
      </c>
      <c r="M982" s="13" t="s">
        <v>320</v>
      </c>
      <c r="N982" s="22" t="s">
        <v>64</v>
      </c>
      <c r="O982" s="14">
        <v>1</v>
      </c>
      <c r="P982" s="15">
        <f t="shared" si="15"/>
        <v>100</v>
      </c>
      <c r="Q982" s="16" t="s">
        <v>3</v>
      </c>
      <c r="R982" s="17" t="s">
        <v>3</v>
      </c>
      <c r="S982" s="13" t="s">
        <v>0</v>
      </c>
    </row>
    <row r="983" spans="1:19" x14ac:dyDescent="0.25">
      <c r="A983" s="13">
        <v>70857200433</v>
      </c>
      <c r="B983" s="27" t="s">
        <v>85</v>
      </c>
      <c r="C983" s="28">
        <v>0</v>
      </c>
      <c r="D983" s="13">
        <v>681202</v>
      </c>
      <c r="E983" s="13" t="s">
        <v>2</v>
      </c>
      <c r="F983" s="13">
        <v>100</v>
      </c>
      <c r="G983" s="13">
        <v>100</v>
      </c>
      <c r="H983" s="13"/>
      <c r="I983" s="13"/>
      <c r="J983" s="13"/>
      <c r="K983" s="13">
        <v>100</v>
      </c>
      <c r="L983" s="22" t="s">
        <v>21</v>
      </c>
      <c r="M983" s="13" t="s">
        <v>320</v>
      </c>
      <c r="N983" s="22" t="s">
        <v>64</v>
      </c>
      <c r="O983" s="14">
        <v>1</v>
      </c>
      <c r="P983" s="15">
        <f t="shared" si="15"/>
        <v>100</v>
      </c>
      <c r="Q983" s="16" t="s">
        <v>3</v>
      </c>
      <c r="R983" s="17" t="s">
        <v>3</v>
      </c>
      <c r="S983" s="13" t="s">
        <v>0</v>
      </c>
    </row>
    <row r="984" spans="1:19" x14ac:dyDescent="0.25">
      <c r="A984" s="13">
        <v>70857200434</v>
      </c>
      <c r="B984" s="27" t="s">
        <v>85</v>
      </c>
      <c r="C984" s="28">
        <v>0</v>
      </c>
      <c r="D984" s="13">
        <v>681202</v>
      </c>
      <c r="E984" s="13" t="s">
        <v>2</v>
      </c>
      <c r="F984" s="13">
        <v>100</v>
      </c>
      <c r="G984" s="13">
        <v>100</v>
      </c>
      <c r="H984" s="13"/>
      <c r="I984" s="13"/>
      <c r="J984" s="13"/>
      <c r="K984" s="13">
        <v>100</v>
      </c>
      <c r="L984" s="22" t="s">
        <v>21</v>
      </c>
      <c r="M984" s="13" t="s">
        <v>320</v>
      </c>
      <c r="N984" s="22" t="s">
        <v>64</v>
      </c>
      <c r="O984" s="14">
        <v>1</v>
      </c>
      <c r="P984" s="15">
        <f t="shared" si="15"/>
        <v>100</v>
      </c>
      <c r="Q984" s="16" t="s">
        <v>3</v>
      </c>
      <c r="R984" s="17" t="s">
        <v>3</v>
      </c>
      <c r="S984" s="13" t="s">
        <v>0</v>
      </c>
    </row>
    <row r="985" spans="1:19" x14ac:dyDescent="0.25">
      <c r="A985" s="13">
        <v>70857800243</v>
      </c>
      <c r="B985" s="27" t="s">
        <v>89</v>
      </c>
      <c r="C985" s="28">
        <v>5</v>
      </c>
      <c r="D985" s="13">
        <v>681202</v>
      </c>
      <c r="E985" s="13" t="s">
        <v>2</v>
      </c>
      <c r="F985" s="13">
        <v>100</v>
      </c>
      <c r="G985" s="13">
        <v>100</v>
      </c>
      <c r="H985" s="13"/>
      <c r="I985" s="13"/>
      <c r="J985" s="13"/>
      <c r="K985" s="13">
        <v>100</v>
      </c>
      <c r="L985" s="22" t="s">
        <v>21</v>
      </c>
      <c r="M985" s="13" t="s">
        <v>320</v>
      </c>
      <c r="N985" s="13">
        <f>IFERROR(VLOOKUP($A:$A,[1]KION_IND_E_COM_LT!$A:$T,18,0),"")</f>
        <v>0</v>
      </c>
      <c r="O985" s="14">
        <v>1</v>
      </c>
      <c r="P985" s="15">
        <f t="shared" si="15"/>
        <v>100</v>
      </c>
      <c r="Q985" s="16">
        <v>44081</v>
      </c>
      <c r="R985" s="17">
        <v>8</v>
      </c>
      <c r="S985" s="13" t="s">
        <v>0</v>
      </c>
    </row>
    <row r="986" spans="1:19" x14ac:dyDescent="0.25">
      <c r="A986" s="13">
        <v>70858500546</v>
      </c>
      <c r="B986" s="27" t="s">
        <v>94</v>
      </c>
      <c r="C986" s="28">
        <v>0</v>
      </c>
      <c r="D986" s="13">
        <v>681202</v>
      </c>
      <c r="E986" s="13" t="s">
        <v>2</v>
      </c>
      <c r="F986" s="13">
        <v>100</v>
      </c>
      <c r="G986" s="13">
        <v>100</v>
      </c>
      <c r="H986" s="13"/>
      <c r="I986" s="13">
        <v>100</v>
      </c>
      <c r="J986" s="13"/>
      <c r="K986" s="13">
        <v>0</v>
      </c>
      <c r="L986" s="22" t="s">
        <v>21</v>
      </c>
      <c r="M986" s="13" t="s">
        <v>320</v>
      </c>
      <c r="N986" s="13">
        <f>IFERROR(VLOOKUP($A:$A,[1]KION_IND_E_COM_LT!$A:$T,18,0),"")</f>
        <v>0</v>
      </c>
      <c r="O986" s="14"/>
      <c r="P986" s="15">
        <f t="shared" si="15"/>
        <v>0</v>
      </c>
      <c r="Q986" s="16"/>
      <c r="R986" s="17" t="s">
        <v>3</v>
      </c>
      <c r="S986" s="13" t="s">
        <v>0</v>
      </c>
    </row>
    <row r="987" spans="1:19" x14ac:dyDescent="0.25">
      <c r="A987" s="13">
        <v>70858500547</v>
      </c>
      <c r="B987" s="27" t="s">
        <v>94</v>
      </c>
      <c r="C987" s="28">
        <v>0</v>
      </c>
      <c r="D987" s="13">
        <v>681202</v>
      </c>
      <c r="E987" s="13" t="s">
        <v>2</v>
      </c>
      <c r="F987" s="13">
        <v>100</v>
      </c>
      <c r="G987" s="13">
        <v>100</v>
      </c>
      <c r="H987" s="13"/>
      <c r="I987" s="13">
        <v>100</v>
      </c>
      <c r="J987" s="13"/>
      <c r="K987" s="13">
        <v>0</v>
      </c>
      <c r="L987" s="22" t="s">
        <v>21</v>
      </c>
      <c r="M987" s="13" t="s">
        <v>320</v>
      </c>
      <c r="N987" s="13">
        <f>IFERROR(VLOOKUP($A:$A,[1]KION_IND_E_COM_LT!$A:$T,18,0),"")</f>
        <v>0</v>
      </c>
      <c r="O987" s="14"/>
      <c r="P987" s="15">
        <f t="shared" si="15"/>
        <v>0</v>
      </c>
      <c r="Q987" s="16"/>
      <c r="R987" s="17" t="s">
        <v>3</v>
      </c>
      <c r="S987" s="13" t="s">
        <v>0</v>
      </c>
    </row>
    <row r="988" spans="1:19" x14ac:dyDescent="0.25">
      <c r="A988" s="13">
        <v>70858500548</v>
      </c>
      <c r="B988" s="27" t="s">
        <v>94</v>
      </c>
      <c r="C988" s="28">
        <v>0</v>
      </c>
      <c r="D988" s="13">
        <v>681202</v>
      </c>
      <c r="E988" s="13" t="s">
        <v>2</v>
      </c>
      <c r="F988" s="13">
        <v>100</v>
      </c>
      <c r="G988" s="13">
        <v>100</v>
      </c>
      <c r="H988" s="13"/>
      <c r="I988" s="13">
        <v>100</v>
      </c>
      <c r="J988" s="13"/>
      <c r="K988" s="13">
        <v>0</v>
      </c>
      <c r="L988" s="22" t="s">
        <v>21</v>
      </c>
      <c r="M988" s="13" t="s">
        <v>320</v>
      </c>
      <c r="N988" s="13">
        <f>IFERROR(VLOOKUP($A:$A,[1]KION_IND_E_COM_LT!$A:$T,18,0),"")</f>
        <v>0</v>
      </c>
      <c r="O988" s="14"/>
      <c r="P988" s="15">
        <f t="shared" si="15"/>
        <v>0</v>
      </c>
      <c r="Q988" s="16"/>
      <c r="R988" s="17" t="s">
        <v>3</v>
      </c>
      <c r="S988" s="13" t="s">
        <v>0</v>
      </c>
    </row>
    <row r="989" spans="1:19" x14ac:dyDescent="0.25">
      <c r="A989" s="13">
        <v>70858500549</v>
      </c>
      <c r="B989" s="27" t="s">
        <v>94</v>
      </c>
      <c r="C989" s="28">
        <v>0</v>
      </c>
      <c r="D989" s="13">
        <v>681202</v>
      </c>
      <c r="E989" s="13" t="s">
        <v>2</v>
      </c>
      <c r="F989" s="13">
        <v>100</v>
      </c>
      <c r="G989" s="13">
        <v>100</v>
      </c>
      <c r="H989" s="13"/>
      <c r="I989" s="13"/>
      <c r="J989" s="13"/>
      <c r="K989" s="13">
        <v>100</v>
      </c>
      <c r="L989" s="22" t="s">
        <v>21</v>
      </c>
      <c r="M989" s="13" t="s">
        <v>61</v>
      </c>
      <c r="N989" s="13">
        <f>IFERROR(VLOOKUP($A:$A,[1]KION_IND_E_COM_LT!$A:$T,18,0),"")</f>
        <v>0</v>
      </c>
      <c r="O989" s="14">
        <v>1</v>
      </c>
      <c r="P989" s="15">
        <f t="shared" si="15"/>
        <v>100</v>
      </c>
      <c r="Q989" s="16" t="s">
        <v>3</v>
      </c>
      <c r="R989" s="17" t="s">
        <v>3</v>
      </c>
      <c r="S989" s="13" t="s">
        <v>0</v>
      </c>
    </row>
    <row r="990" spans="1:19" x14ac:dyDescent="0.25">
      <c r="A990" s="13">
        <v>70858500550</v>
      </c>
      <c r="B990" s="27" t="s">
        <v>94</v>
      </c>
      <c r="C990" s="28">
        <v>0</v>
      </c>
      <c r="D990" s="13">
        <v>681202</v>
      </c>
      <c r="E990" s="13" t="s">
        <v>2</v>
      </c>
      <c r="F990" s="13">
        <v>100</v>
      </c>
      <c r="G990" s="13">
        <v>100</v>
      </c>
      <c r="H990" s="13"/>
      <c r="I990" s="13"/>
      <c r="J990" s="13"/>
      <c r="K990" s="13">
        <v>100</v>
      </c>
      <c r="L990" s="22" t="s">
        <v>21</v>
      </c>
      <c r="M990" s="13" t="s">
        <v>61</v>
      </c>
      <c r="N990" s="13">
        <f>IFERROR(VLOOKUP($A:$A,[1]KION_IND_E_COM_LT!$A:$T,18,0),"")</f>
        <v>0</v>
      </c>
      <c r="O990" s="14">
        <v>1</v>
      </c>
      <c r="P990" s="15">
        <f t="shared" si="15"/>
        <v>100</v>
      </c>
      <c r="Q990" s="16" t="s">
        <v>3</v>
      </c>
      <c r="R990" s="17" t="s">
        <v>3</v>
      </c>
      <c r="S990" s="13" t="s">
        <v>0</v>
      </c>
    </row>
    <row r="991" spans="1:19" x14ac:dyDescent="0.25">
      <c r="A991" s="13">
        <v>70858500551</v>
      </c>
      <c r="B991" s="27" t="s">
        <v>94</v>
      </c>
      <c r="C991" s="28">
        <v>0</v>
      </c>
      <c r="D991" s="13">
        <v>681202</v>
      </c>
      <c r="E991" s="13" t="s">
        <v>2</v>
      </c>
      <c r="F991" s="13">
        <v>100</v>
      </c>
      <c r="G991" s="13">
        <v>100</v>
      </c>
      <c r="H991" s="13"/>
      <c r="I991" s="13"/>
      <c r="J991" s="13"/>
      <c r="K991" s="13">
        <v>100</v>
      </c>
      <c r="L991" s="22" t="s">
        <v>21</v>
      </c>
      <c r="M991" s="13" t="s">
        <v>61</v>
      </c>
      <c r="N991" s="13">
        <f>IFERROR(VLOOKUP($A:$A,[1]KION_IND_E_COM_LT!$A:$T,18,0),"")</f>
        <v>0</v>
      </c>
      <c r="O991" s="14">
        <v>1</v>
      </c>
      <c r="P991" s="15">
        <f t="shared" si="15"/>
        <v>100</v>
      </c>
      <c r="Q991" s="16" t="s">
        <v>3</v>
      </c>
      <c r="R991" s="17" t="s">
        <v>3</v>
      </c>
      <c r="S991" s="13" t="s">
        <v>0</v>
      </c>
    </row>
    <row r="992" spans="1:19" x14ac:dyDescent="0.25">
      <c r="A992" s="13">
        <v>70859300378</v>
      </c>
      <c r="B992" s="27" t="s">
        <v>98</v>
      </c>
      <c r="C992" s="28">
        <v>1</v>
      </c>
      <c r="D992" s="13">
        <v>681202</v>
      </c>
      <c r="E992" s="13" t="s">
        <v>2</v>
      </c>
      <c r="F992" s="13">
        <v>100</v>
      </c>
      <c r="G992" s="13">
        <v>100</v>
      </c>
      <c r="H992" s="13"/>
      <c r="I992" s="13"/>
      <c r="J992" s="13"/>
      <c r="K992" s="13">
        <v>100</v>
      </c>
      <c r="L992" s="22" t="s">
        <v>21</v>
      </c>
      <c r="M992" s="13" t="s">
        <v>31</v>
      </c>
      <c r="N992" s="22" t="s">
        <v>63</v>
      </c>
      <c r="O992" s="14">
        <v>1</v>
      </c>
      <c r="P992" s="15">
        <f t="shared" si="15"/>
        <v>100</v>
      </c>
      <c r="Q992" s="16" t="s">
        <v>3</v>
      </c>
      <c r="R992" s="17" t="s">
        <v>3</v>
      </c>
      <c r="S992" s="13" t="s">
        <v>0</v>
      </c>
    </row>
    <row r="993" spans="1:19" x14ac:dyDescent="0.25">
      <c r="A993" s="13">
        <v>70859300379</v>
      </c>
      <c r="B993" s="27" t="s">
        <v>98</v>
      </c>
      <c r="C993" s="28">
        <v>1</v>
      </c>
      <c r="D993" s="13">
        <v>681202</v>
      </c>
      <c r="E993" s="13" t="s">
        <v>2</v>
      </c>
      <c r="F993" s="13">
        <v>100</v>
      </c>
      <c r="G993" s="13">
        <v>100</v>
      </c>
      <c r="H993" s="13"/>
      <c r="I993" s="13"/>
      <c r="J993" s="13"/>
      <c r="K993" s="13">
        <v>100</v>
      </c>
      <c r="L993" s="22" t="s">
        <v>21</v>
      </c>
      <c r="M993" s="13" t="s">
        <v>31</v>
      </c>
      <c r="N993" s="22" t="s">
        <v>63</v>
      </c>
      <c r="O993" s="14">
        <v>1</v>
      </c>
      <c r="P993" s="15">
        <f t="shared" si="15"/>
        <v>100</v>
      </c>
      <c r="Q993" s="16" t="s">
        <v>3</v>
      </c>
      <c r="R993" s="17" t="s">
        <v>3</v>
      </c>
      <c r="S993" s="13" t="s">
        <v>0</v>
      </c>
    </row>
    <row r="994" spans="1:19" x14ac:dyDescent="0.25">
      <c r="A994" s="13">
        <v>70859300380</v>
      </c>
      <c r="B994" s="27" t="s">
        <v>98</v>
      </c>
      <c r="C994" s="28">
        <v>1</v>
      </c>
      <c r="D994" s="13">
        <v>681202</v>
      </c>
      <c r="E994" s="13" t="s">
        <v>2</v>
      </c>
      <c r="F994" s="13">
        <v>100</v>
      </c>
      <c r="G994" s="13">
        <v>100</v>
      </c>
      <c r="H994" s="13"/>
      <c r="I994" s="13"/>
      <c r="J994" s="13"/>
      <c r="K994" s="13">
        <v>100</v>
      </c>
      <c r="L994" s="23"/>
      <c r="M994" s="13" t="s">
        <v>23</v>
      </c>
      <c r="N994" s="13">
        <f>IFERROR(VLOOKUP($A:$A,[1]KION_IND_E_COM_LT!$A:$T,18,0),"")</f>
        <v>0</v>
      </c>
      <c r="O994" s="14">
        <v>1</v>
      </c>
      <c r="P994" s="15">
        <f t="shared" si="15"/>
        <v>100</v>
      </c>
      <c r="Q994" s="16" t="s">
        <v>3</v>
      </c>
      <c r="R994" s="17" t="s">
        <v>3</v>
      </c>
      <c r="S994" s="13" t="s">
        <v>0</v>
      </c>
    </row>
    <row r="995" spans="1:19" x14ac:dyDescent="0.25">
      <c r="A995" s="25">
        <v>708594001293</v>
      </c>
      <c r="B995" s="27" t="s">
        <v>288</v>
      </c>
      <c r="C995" s="28">
        <v>3</v>
      </c>
      <c r="D995" s="13">
        <v>681202</v>
      </c>
      <c r="E995" s="13" t="s">
        <v>2</v>
      </c>
      <c r="F995" s="13">
        <v>130</v>
      </c>
      <c r="G995" s="13">
        <v>130</v>
      </c>
      <c r="H995" s="13"/>
      <c r="I995" s="13"/>
      <c r="J995" s="13"/>
      <c r="K995" s="13">
        <v>130</v>
      </c>
      <c r="L995" s="22" t="s">
        <v>21</v>
      </c>
      <c r="M995" s="13" t="s">
        <v>320</v>
      </c>
      <c r="N995" s="22" t="s">
        <v>63</v>
      </c>
      <c r="O995" s="14">
        <v>1</v>
      </c>
      <c r="P995" s="15">
        <f t="shared" si="15"/>
        <v>130</v>
      </c>
      <c r="Q995" s="16">
        <v>44081</v>
      </c>
      <c r="R995" s="17">
        <v>8</v>
      </c>
      <c r="S995" s="13" t="s">
        <v>0</v>
      </c>
    </row>
    <row r="996" spans="1:19" x14ac:dyDescent="0.25">
      <c r="A996" s="13">
        <v>708594001294</v>
      </c>
      <c r="B996" s="27" t="s">
        <v>288</v>
      </c>
      <c r="C996" s="28">
        <v>3</v>
      </c>
      <c r="D996" s="13">
        <v>681202</v>
      </c>
      <c r="E996" s="13" t="s">
        <v>2</v>
      </c>
      <c r="F996" s="13">
        <v>100</v>
      </c>
      <c r="G996" s="13">
        <v>100</v>
      </c>
      <c r="H996" s="13"/>
      <c r="I996" s="13"/>
      <c r="J996" s="13">
        <v>100</v>
      </c>
      <c r="K996" s="13">
        <v>0</v>
      </c>
      <c r="L996" s="22" t="s">
        <v>21</v>
      </c>
      <c r="M996" s="13" t="s">
        <v>43</v>
      </c>
      <c r="N996" s="13">
        <f>IFERROR(VLOOKUP($A:$A,[1]KION_IND_E_COM_LT!$A:$T,18,0),"")</f>
        <v>0</v>
      </c>
      <c r="O996" s="14"/>
      <c r="P996" s="15">
        <f t="shared" si="15"/>
        <v>0</v>
      </c>
      <c r="Q996" s="16"/>
      <c r="R996" s="17">
        <v>8</v>
      </c>
      <c r="S996" s="13" t="s">
        <v>0</v>
      </c>
    </row>
    <row r="997" spans="1:19" x14ac:dyDescent="0.25">
      <c r="A997" s="25">
        <v>708594001295</v>
      </c>
      <c r="B997" s="27" t="s">
        <v>288</v>
      </c>
      <c r="C997" s="28">
        <v>3</v>
      </c>
      <c r="D997" s="13">
        <v>681202</v>
      </c>
      <c r="E997" s="13" t="s">
        <v>2</v>
      </c>
      <c r="F997" s="13">
        <v>100</v>
      </c>
      <c r="G997" s="13">
        <v>100</v>
      </c>
      <c r="H997" s="13"/>
      <c r="I997" s="13"/>
      <c r="J997" s="13"/>
      <c r="K997" s="13">
        <v>100</v>
      </c>
      <c r="L997" s="22" t="s">
        <v>21</v>
      </c>
      <c r="M997" s="13" t="s">
        <v>320</v>
      </c>
      <c r="N997" s="22" t="s">
        <v>63</v>
      </c>
      <c r="O997" s="14">
        <v>1</v>
      </c>
      <c r="P997" s="15">
        <f t="shared" si="15"/>
        <v>100</v>
      </c>
      <c r="Q997" s="16">
        <v>44081</v>
      </c>
      <c r="R997" s="17">
        <v>8</v>
      </c>
      <c r="S997" s="13" t="s">
        <v>0</v>
      </c>
    </row>
    <row r="998" spans="1:19" x14ac:dyDescent="0.25">
      <c r="A998" s="25">
        <v>708594001296</v>
      </c>
      <c r="B998" s="27" t="s">
        <v>288</v>
      </c>
      <c r="C998" s="28">
        <v>3</v>
      </c>
      <c r="D998" s="13">
        <v>681202</v>
      </c>
      <c r="E998" s="13" t="s">
        <v>2</v>
      </c>
      <c r="F998" s="13">
        <v>100</v>
      </c>
      <c r="G998" s="13">
        <v>100</v>
      </c>
      <c r="H998" s="13"/>
      <c r="I998" s="13"/>
      <c r="J998" s="13"/>
      <c r="K998" s="13">
        <v>100</v>
      </c>
      <c r="L998" s="22" t="s">
        <v>21</v>
      </c>
      <c r="M998" s="13" t="s">
        <v>320</v>
      </c>
      <c r="N998" s="22" t="s">
        <v>63</v>
      </c>
      <c r="O998" s="14">
        <v>1</v>
      </c>
      <c r="P998" s="15">
        <f t="shared" si="15"/>
        <v>100</v>
      </c>
      <c r="Q998" s="16" t="s">
        <v>3</v>
      </c>
      <c r="R998" s="17" t="s">
        <v>3</v>
      </c>
      <c r="S998" s="13" t="s">
        <v>0</v>
      </c>
    </row>
    <row r="999" spans="1:19" x14ac:dyDescent="0.25">
      <c r="A999" s="25">
        <v>708594001297</v>
      </c>
      <c r="B999" s="27" t="s">
        <v>288</v>
      </c>
      <c r="C999" s="28">
        <v>3</v>
      </c>
      <c r="D999" s="13">
        <v>681202</v>
      </c>
      <c r="E999" s="13" t="s">
        <v>2</v>
      </c>
      <c r="F999" s="13">
        <v>100</v>
      </c>
      <c r="G999" s="13">
        <v>100</v>
      </c>
      <c r="H999" s="13"/>
      <c r="I999" s="13"/>
      <c r="J999" s="13"/>
      <c r="K999" s="13">
        <v>100</v>
      </c>
      <c r="L999" s="22" t="s">
        <v>21</v>
      </c>
      <c r="M999" s="13" t="s">
        <v>320</v>
      </c>
      <c r="N999" s="22" t="s">
        <v>63</v>
      </c>
      <c r="O999" s="14">
        <v>1</v>
      </c>
      <c r="P999" s="15">
        <f t="shared" si="15"/>
        <v>100</v>
      </c>
      <c r="Q999" s="16" t="s">
        <v>3</v>
      </c>
      <c r="R999" s="17" t="s">
        <v>3</v>
      </c>
      <c r="S999" s="13" t="s">
        <v>0</v>
      </c>
    </row>
    <row r="1000" spans="1:19" x14ac:dyDescent="0.25">
      <c r="A1000" s="25">
        <v>708594001298</v>
      </c>
      <c r="B1000" s="27" t="s">
        <v>288</v>
      </c>
      <c r="C1000" s="28">
        <v>3</v>
      </c>
      <c r="D1000" s="13">
        <v>681202</v>
      </c>
      <c r="E1000" s="13" t="s">
        <v>2</v>
      </c>
      <c r="F1000" s="13">
        <v>100</v>
      </c>
      <c r="G1000" s="13">
        <v>100</v>
      </c>
      <c r="H1000" s="13"/>
      <c r="I1000" s="13"/>
      <c r="J1000" s="13"/>
      <c r="K1000" s="13">
        <v>100</v>
      </c>
      <c r="L1000" s="22" t="s">
        <v>21</v>
      </c>
      <c r="M1000" s="13" t="s">
        <v>320</v>
      </c>
      <c r="N1000" s="22" t="s">
        <v>63</v>
      </c>
      <c r="O1000" s="14">
        <v>1</v>
      </c>
      <c r="P1000" s="15">
        <f t="shared" si="15"/>
        <v>100</v>
      </c>
      <c r="Q1000" s="16" t="s">
        <v>3</v>
      </c>
      <c r="R1000" s="17" t="s">
        <v>3</v>
      </c>
      <c r="S1000" s="13" t="s">
        <v>0</v>
      </c>
    </row>
    <row r="1001" spans="1:19" x14ac:dyDescent="0.25">
      <c r="A1001" s="25">
        <v>708594001299</v>
      </c>
      <c r="B1001" s="27" t="s">
        <v>288</v>
      </c>
      <c r="C1001" s="28">
        <v>3</v>
      </c>
      <c r="D1001" s="13">
        <v>681202</v>
      </c>
      <c r="E1001" s="13" t="s">
        <v>2</v>
      </c>
      <c r="F1001" s="13">
        <v>100</v>
      </c>
      <c r="G1001" s="13">
        <v>100</v>
      </c>
      <c r="H1001" s="13"/>
      <c r="I1001" s="13"/>
      <c r="J1001" s="13"/>
      <c r="K1001" s="13">
        <v>100</v>
      </c>
      <c r="L1001" s="22" t="s">
        <v>21</v>
      </c>
      <c r="M1001" s="13" t="s">
        <v>320</v>
      </c>
      <c r="N1001" s="22" t="s">
        <v>63</v>
      </c>
      <c r="O1001" s="14">
        <v>1</v>
      </c>
      <c r="P1001" s="15">
        <f t="shared" si="15"/>
        <v>100</v>
      </c>
      <c r="Q1001" s="16" t="s">
        <v>3</v>
      </c>
      <c r="R1001" s="17" t="s">
        <v>3</v>
      </c>
      <c r="S1001" s="13" t="s">
        <v>0</v>
      </c>
    </row>
    <row r="1002" spans="1:19" x14ac:dyDescent="0.25">
      <c r="A1002" s="25">
        <v>708594001300</v>
      </c>
      <c r="B1002" s="27" t="s">
        <v>288</v>
      </c>
      <c r="C1002" s="28">
        <v>3</v>
      </c>
      <c r="D1002" s="13">
        <v>681202</v>
      </c>
      <c r="E1002" s="13" t="s">
        <v>2</v>
      </c>
      <c r="F1002" s="13">
        <v>100</v>
      </c>
      <c r="G1002" s="13">
        <v>100</v>
      </c>
      <c r="H1002" s="13"/>
      <c r="I1002" s="13"/>
      <c r="J1002" s="13"/>
      <c r="K1002" s="13">
        <v>100</v>
      </c>
      <c r="L1002" s="22" t="s">
        <v>21</v>
      </c>
      <c r="M1002" s="13" t="s">
        <v>320</v>
      </c>
      <c r="N1002" s="22" t="s">
        <v>63</v>
      </c>
      <c r="O1002" s="14">
        <v>1</v>
      </c>
      <c r="P1002" s="15">
        <f t="shared" si="15"/>
        <v>100</v>
      </c>
      <c r="Q1002" s="16" t="s">
        <v>3</v>
      </c>
      <c r="R1002" s="17" t="s">
        <v>3</v>
      </c>
      <c r="S1002" s="13" t="s">
        <v>0</v>
      </c>
    </row>
    <row r="1003" spans="1:19" x14ac:dyDescent="0.25">
      <c r="A1003" s="13">
        <v>708597001041</v>
      </c>
      <c r="B1003" s="27" t="s">
        <v>289</v>
      </c>
      <c r="C1003" s="28">
        <v>3</v>
      </c>
      <c r="D1003" s="13">
        <v>681202</v>
      </c>
      <c r="E1003" s="13" t="s">
        <v>2</v>
      </c>
      <c r="F1003" s="13">
        <v>135</v>
      </c>
      <c r="G1003" s="13">
        <v>135</v>
      </c>
      <c r="H1003" s="13"/>
      <c r="I1003" s="13"/>
      <c r="J1003" s="13">
        <v>135</v>
      </c>
      <c r="K1003" s="13">
        <v>0</v>
      </c>
      <c r="L1003" s="22" t="s">
        <v>21</v>
      </c>
      <c r="M1003" s="13" t="s">
        <v>33</v>
      </c>
      <c r="N1003" s="13">
        <f>IFERROR(VLOOKUP($A:$A,[1]KION_IND_E_COM_LT!$A:$T,18,0),"")</f>
        <v>0</v>
      </c>
      <c r="O1003" s="14"/>
      <c r="P1003" s="15">
        <f t="shared" si="15"/>
        <v>0</v>
      </c>
      <c r="Q1003" s="16"/>
      <c r="R1003" s="17" t="s">
        <v>3</v>
      </c>
      <c r="S1003" s="13" t="s">
        <v>0</v>
      </c>
    </row>
    <row r="1004" spans="1:19" x14ac:dyDescent="0.25">
      <c r="A1004" s="13">
        <v>708597001042</v>
      </c>
      <c r="B1004" s="27" t="s">
        <v>289</v>
      </c>
      <c r="C1004" s="28">
        <v>3</v>
      </c>
      <c r="D1004" s="13">
        <v>681202</v>
      </c>
      <c r="E1004" s="13" t="s">
        <v>2</v>
      </c>
      <c r="F1004" s="13">
        <v>100</v>
      </c>
      <c r="G1004" s="13">
        <v>100</v>
      </c>
      <c r="H1004" s="13"/>
      <c r="I1004" s="13"/>
      <c r="J1004" s="13">
        <v>100</v>
      </c>
      <c r="K1004" s="13">
        <v>0</v>
      </c>
      <c r="L1004" s="22" t="s">
        <v>21</v>
      </c>
      <c r="M1004" s="13" t="s">
        <v>33</v>
      </c>
      <c r="N1004" s="13">
        <f>IFERROR(VLOOKUP($A:$A,[1]KION_IND_E_COM_LT!$A:$T,18,0),"")</f>
        <v>0</v>
      </c>
      <c r="O1004" s="14"/>
      <c r="P1004" s="15">
        <f t="shared" si="15"/>
        <v>0</v>
      </c>
      <c r="Q1004" s="16"/>
      <c r="R1004" s="17" t="s">
        <v>3</v>
      </c>
      <c r="S1004" s="13" t="s">
        <v>0</v>
      </c>
    </row>
    <row r="1005" spans="1:19" x14ac:dyDescent="0.25">
      <c r="A1005" s="13">
        <v>708597001043</v>
      </c>
      <c r="B1005" s="27" t="s">
        <v>289</v>
      </c>
      <c r="C1005" s="28">
        <v>3</v>
      </c>
      <c r="D1005" s="13">
        <v>681202</v>
      </c>
      <c r="E1005" s="13" t="s">
        <v>2</v>
      </c>
      <c r="F1005" s="13">
        <v>100</v>
      </c>
      <c r="G1005" s="13">
        <v>100</v>
      </c>
      <c r="H1005" s="13"/>
      <c r="I1005" s="13"/>
      <c r="J1005" s="13">
        <v>100</v>
      </c>
      <c r="K1005" s="13">
        <v>0</v>
      </c>
      <c r="L1005" s="22" t="s">
        <v>21</v>
      </c>
      <c r="M1005" s="13" t="s">
        <v>33</v>
      </c>
      <c r="N1005" s="13">
        <f>IFERROR(VLOOKUP($A:$A,[1]KION_IND_E_COM_LT!$A:$T,18,0),"")</f>
        <v>0</v>
      </c>
      <c r="O1005" s="14"/>
      <c r="P1005" s="15">
        <f t="shared" si="15"/>
        <v>0</v>
      </c>
      <c r="Q1005" s="16"/>
      <c r="R1005" s="17" t="s">
        <v>3</v>
      </c>
      <c r="S1005" s="13" t="s">
        <v>0</v>
      </c>
    </row>
    <row r="1006" spans="1:19" x14ac:dyDescent="0.25">
      <c r="A1006" s="13">
        <v>708597001044</v>
      </c>
      <c r="B1006" s="27" t="s">
        <v>289</v>
      </c>
      <c r="C1006" s="28">
        <v>3</v>
      </c>
      <c r="D1006" s="13">
        <v>681202</v>
      </c>
      <c r="E1006" s="13" t="s">
        <v>2</v>
      </c>
      <c r="F1006" s="13">
        <v>100</v>
      </c>
      <c r="G1006" s="13">
        <v>100</v>
      </c>
      <c r="H1006" s="13"/>
      <c r="I1006" s="13"/>
      <c r="J1006" s="13">
        <v>100</v>
      </c>
      <c r="K1006" s="13">
        <v>0</v>
      </c>
      <c r="L1006" s="22" t="s">
        <v>21</v>
      </c>
      <c r="M1006" s="13" t="s">
        <v>33</v>
      </c>
      <c r="N1006" s="13">
        <f>IFERROR(VLOOKUP($A:$A,[1]KION_IND_E_COM_LT!$A:$T,18,0),"")</f>
        <v>0</v>
      </c>
      <c r="O1006" s="14"/>
      <c r="P1006" s="15">
        <f t="shared" si="15"/>
        <v>0</v>
      </c>
      <c r="Q1006" s="16"/>
      <c r="R1006" s="17" t="s">
        <v>3</v>
      </c>
      <c r="S1006" s="13" t="s">
        <v>0</v>
      </c>
    </row>
    <row r="1007" spans="1:19" x14ac:dyDescent="0.25">
      <c r="A1007" s="25">
        <v>708597001045</v>
      </c>
      <c r="B1007" s="27" t="s">
        <v>289</v>
      </c>
      <c r="C1007" s="28">
        <v>3</v>
      </c>
      <c r="D1007" s="13">
        <v>681202</v>
      </c>
      <c r="E1007" s="13" t="s">
        <v>2</v>
      </c>
      <c r="F1007" s="13">
        <v>500</v>
      </c>
      <c r="G1007" s="13">
        <v>500</v>
      </c>
      <c r="H1007" s="13"/>
      <c r="I1007" s="13"/>
      <c r="J1007" s="13"/>
      <c r="K1007" s="13">
        <v>500</v>
      </c>
      <c r="L1007" s="23"/>
      <c r="M1007" s="13" t="s">
        <v>23</v>
      </c>
      <c r="N1007" s="13">
        <f>IFERROR(VLOOKUP($A:$A,[1]KION_IND_E_COM_LT!$A:$T,18,0),"")</f>
        <v>0</v>
      </c>
      <c r="O1007" s="14">
        <v>1</v>
      </c>
      <c r="P1007" s="15">
        <f t="shared" si="15"/>
        <v>500</v>
      </c>
      <c r="Q1007" s="16" t="s">
        <v>3</v>
      </c>
      <c r="R1007" s="17" t="s">
        <v>3</v>
      </c>
      <c r="S1007" s="13" t="s">
        <v>0</v>
      </c>
    </row>
    <row r="1008" spans="1:19" x14ac:dyDescent="0.25">
      <c r="R1008" s="17"/>
    </row>
  </sheetData>
  <autoFilter ref="A2:S1007" xr:uid="{00000000-0009-0000-0000-000000000000}">
    <sortState xmlns:xlrd2="http://schemas.microsoft.com/office/spreadsheetml/2017/richdata2" ref="A3:S1007">
      <sortCondition ref="A2:A1007"/>
    </sortState>
  </autoFilter>
  <conditionalFormatting sqref="K3:K1007">
    <cfRule type="cellIs" dxfId="16" priority="25" stopIfTrue="1" operator="equal">
      <formula>0</formula>
    </cfRule>
  </conditionalFormatting>
  <conditionalFormatting sqref="M3:P1007">
    <cfRule type="cellIs" dxfId="15" priority="24" stopIfTrue="1" operator="equal">
      <formula>"CK"</formula>
    </cfRule>
  </conditionalFormatting>
  <conditionalFormatting sqref="R3:R1008">
    <cfRule type="cellIs" dxfId="14" priority="20" stopIfTrue="1" operator="equal">
      <formula>1</formula>
    </cfRule>
    <cfRule type="cellIs" dxfId="13" priority="21" stopIfTrue="1" operator="equal">
      <formula>2</formula>
    </cfRule>
    <cfRule type="cellIs" dxfId="12" priority="22" stopIfTrue="1" operator="equal">
      <formula>3</formula>
    </cfRule>
  </conditionalFormatting>
  <conditionalFormatting sqref="Q3:Q1007">
    <cfRule type="cellIs" dxfId="11" priority="23" stopIfTrue="1" operator="lessThan">
      <formula>0</formula>
    </cfRule>
  </conditionalFormatting>
  <conditionalFormatting sqref="M4:M1007">
    <cfRule type="cellIs" dxfId="10" priority="16" stopIfTrue="1" operator="equal">
      <formula>"CK"</formula>
    </cfRule>
  </conditionalFormatting>
  <conditionalFormatting sqref="L3:L1007">
    <cfRule type="cellIs" dxfId="9" priority="10" stopIfTrue="1" operator="equal">
      <formula>"CK"</formula>
    </cfRule>
  </conditionalFormatting>
  <conditionalFormatting sqref="M1:M1048576">
    <cfRule type="containsText" dxfId="8" priority="3" operator="containsText" text="ESTAMPAGEM">
      <formula>NOT(ISERROR(SEARCH("ESTAMPAGEM",M1)))</formula>
    </cfRule>
    <cfRule type="containsText" dxfId="7" priority="4" operator="containsText" text="LASER">
      <formula>NOT(ISERROR(SEARCH("LASER",M1)))</formula>
    </cfRule>
    <cfRule type="containsText" dxfId="6" priority="5" operator="containsText" text="COLETA">
      <formula>NOT(ISERROR(SEARCH("COLETA",M1)))</formula>
    </cfRule>
    <cfRule type="containsText" dxfId="5" priority="6" operator="containsText" text="PREVI">
      <formula>NOT(ISERROR(SEARCH("PREVI",M1)))</formula>
    </cfRule>
    <cfRule type="containsText" dxfId="4" priority="7" operator="containsText" text="EST OK">
      <formula>NOT(ISERROR(SEARCH("EST OK",M1)))</formula>
    </cfRule>
    <cfRule type="containsText" dxfId="3" priority="8" operator="containsText" text="COMPRAR">
      <formula>NOT(ISERROR(SEARCH("COMPRAR",M1)))</formula>
    </cfRule>
    <cfRule type="containsText" dxfId="2" priority="9" operator="containsText" text="tratamento">
      <formula>NOT(ISERROR(SEARCH("tratamento",M1)))</formula>
    </cfRule>
  </conditionalFormatting>
  <conditionalFormatting sqref="N1:N1048576">
    <cfRule type="containsText" dxfId="1" priority="2" operator="containsText" text=" ">
      <formula>NOT(ISERROR(SEARCH(" ",N1)))</formula>
    </cfRule>
  </conditionalFormatting>
  <conditionalFormatting sqref="R5">
    <cfRule type="cellIs" dxfId="0" priority="1" stopIfTrue="1" operator="lessThan">
      <formula>0</formula>
    </cfRule>
  </conditionalFormatting>
  <pageMargins left="0.511811024" right="0.511811024" top="0.78740157499999996" bottom="0.78740157499999996" header="0.31496062000000002" footer="0.31496062000000002"/>
  <pageSetup paperSize="9" orientation="portrait" horizontalDpi="0" verticalDpi="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1</vt:i4>
      </vt:variant>
    </vt:vector>
  </HeadingPairs>
  <TitlesOfParts>
    <vt:vector size="1" baseType="lpstr">
      <vt:lpstr>Planilha1</vt:lpstr>
    </vt:vector>
  </TitlesOfParts>
  <Company>Diebold Nixdorf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Dos Santos, Paula Carina (Intern)</dc:creator>
  <cp:lastModifiedBy>Master</cp:lastModifiedBy>
  <cp:lastPrinted>2020-08-14T12:28:31Z</cp:lastPrinted>
  <dcterms:created xsi:type="dcterms:W3CDTF">2020-08-11T12:11:24Z</dcterms:created>
  <dcterms:modified xsi:type="dcterms:W3CDTF">2022-09-13T19:26:47Z</dcterms:modified>
</cp:coreProperties>
</file>